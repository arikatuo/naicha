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1d8cb1799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饮品核实表" sheetId="1" r:id="Ref81fd4273ea45c5"/>
    <x:sheet xmlns:r="http://schemas.openxmlformats.org/officeDocument/2006/relationships" name="小料核实表" sheetId="2" r:id="R0103a2d6991f49ea"/>
    <x:sheet xmlns:r="http://schemas.openxmlformats.org/officeDocument/2006/relationships" name="阅读说明" sheetId="3" r:id="Rbbea0f460b6e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332C27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4483B"/>
      </x:patternFill>
    </x:fill>
    <x:fill>
      <x:patternFill patternType="solid">
        <x:fgColor rgb="FFFFF8F2"/>
      </x:patternFill>
    </x:fill>
    <x:fill>
      <x:patternFill patternType="solid">
        <x:fgColor rgb="FFFFFFFF"/>
      </x:patternFill>
    </x:fill>
    <x:fill>
      <x:patternFill patternType="solid">
        <x:fgColor rgb="FFFFF3D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7cdbcac8a40c0" /><Relationship Type="http://schemas.openxmlformats.org/officeDocument/2006/relationships/theme" Target="/xl/theme/theme1.xml" Id="Rdc4b3d6ad8144984" /><Relationship Type="http://schemas.openxmlformats.org/officeDocument/2006/relationships/sharedStrings" Target="/xl/sharedStrings.xml" Id="Rcc02ad5f6dc04754" /><Relationship Type="http://schemas.openxmlformats.org/officeDocument/2006/relationships/worksheet" Target="/xl/worksheets/sheet1.xml" Id="Ref81fd4273ea45c5" /><Relationship Type="http://schemas.openxmlformats.org/officeDocument/2006/relationships/worksheet" Target="/xl/worksheets/sheet2.xml" Id="R0103a2d6991f49ea" /><Relationship Type="http://schemas.openxmlformats.org/officeDocument/2006/relationships/worksheet" Target="/xl/worksheets/sheet3.xml" Id="Rbbea0f460b6e4706" /></Relationships>
</file>

<file path=xl/tables/table1.xml><?xml version="1.0" encoding="utf-8"?>
<x:table xmlns:x="http://schemas.openxmlformats.org/spreadsheetml/2006/main" id="1" name="Drinks" displayName="Drinks" ref="A1:O321" headerRowCount="1" totalsRowCount="0" totalsRowShown="0">
  <x:tableColumns count="15">
    <x:tableColumn id="1" name="编号"/>
    <x:tableColumn id="2" name="品牌"/>
    <x:tableColumn id="3" name="饮品"/>
    <x:tableColumn id="4" name="杯型或容量"/>
    <x:tableColumn id="5" name="糖度与配置"/>
    <x:tableColumn id="6" name="参考 kcal/杯"/>
    <x:tableColumn id="7" name="参考范围 kcal"/>
    <x:tableColumn id="8" name="依据类型"/>
    <x:tableColumn id="9" name="默认自带小料"/>
    <x:tableColumn id="10" name="核实状态"/>
    <x:tableColumn id="11" name="核实后热量 kcal"/>
    <x:tableColumn id="12" name="来源链接"/>
    <x:tableColumn id="13" name="来源说明或估算假设"/>
    <x:tableColumn id="14" name="待核实问题"/>
    <x:tableColumn id="15" name="检索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pings" displayName="Toppings" ref="A1:L30" headerRowCount="1" totalsRowCount="0" totalsRowShown="0">
  <x:tableColumns count="12">
    <x:tableColumn id="1" name="编号"/>
    <x:tableColumn id="2" name="小料或添加项"/>
    <x:tableColumn id="3" name="参考份量"/>
    <x:tableColumn id="4" name="参考 kcal/份"/>
    <x:tableColumn id="5" name="参考范围 kcal"/>
    <x:tableColumn id="6" name="依据类型"/>
    <x:tableColumn id="7" name="适用说明"/>
    <x:tableColumn id="8" name="核实状态"/>
    <x:tableColumn id="9" name="核实后热量 kcal"/>
    <x:tableColumn id="10" name="来源链接"/>
    <x:tableColumn id="11" name="来源说明或估算假设"/>
    <x:tableColumn id="12" name="待核实问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ructions" displayName="Instructions" ref="A1:B14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e684441d5440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f30deb1c1c4f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b7487954d8404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38" hidden="0" customWidth="1"/>
    <x:col min="5" max="5" width="40" hidden="0" customWidth="1"/>
    <x:col min="6" max="6" width="16" hidden="0" customWidth="1"/>
    <x:col min="7" max="7" width="19" hidden="0" customWidth="1"/>
    <x:col min="8" max="8" width="20" hidden="0" customWidth="1"/>
    <x:col min="9" max="9" width="35" hidden="0" customWidth="1"/>
    <x:col min="10" max="10" width="15" hidden="0" customWidth="1"/>
    <x:col min="11" max="11" width="20" hidden="0" customWidth="1"/>
    <x:col min="12" max="12" width="65" hidden="0" customWidth="1"/>
    <x:col min="13" max="13" width="85" hidden="0" customWidth="1"/>
    <x:col min="14" max="14" width="85" hidden="0" customWidth="1"/>
    <x:col min="15" max="15" width="15" hidden="0" customWidth="1"/>
  </x:cols>
  <x:sheetData>
    <x:row r="1" ht="32" customHeight="1">
      <x:c r="A1" s="5" t="str">
        <x:v>编号</x:v>
      </x:c>
      <x:c r="B1" s="5" t="str">
        <x:v>品牌</x:v>
      </x:c>
      <x:c r="C1" s="5" t="str">
        <x:v>饮品</x:v>
      </x:c>
      <x:c r="D1" s="5" t="str">
        <x:v>杯型或容量</x:v>
      </x:c>
      <x:c r="E1" s="5" t="str">
        <x:v>糖度与配置</x:v>
      </x:c>
      <x:c r="F1" s="5" t="str">
        <x:v>参考 kcal/杯</x:v>
      </x:c>
      <x:c r="G1" s="5" t="str">
        <x:v>参考范围 kcal</x:v>
      </x:c>
      <x:c r="H1" s="5" t="str">
        <x:v>依据类型</x:v>
      </x:c>
      <x:c r="I1" s="5" t="str">
        <x:v>默认自带小料</x:v>
      </x:c>
      <x:c r="J1" s="5" t="str">
        <x:v>核实状态</x:v>
      </x:c>
      <x:c r="K1" s="5" t="str">
        <x:v>核实后热量 kcal</x:v>
      </x:c>
      <x:c r="L1" s="5" t="str">
        <x:v>来源链接</x:v>
      </x:c>
      <x:c r="M1" s="5" t="str">
        <x:v>来源说明或估算假设</x:v>
      </x:c>
      <x:c r="N1" s="5" t="str">
        <x:v>待核实问题</x:v>
      </x:c>
      <x:c r="O1" s="5" t="str">
        <x:v>检索日期</x:v>
      </x:c>
    </x:row>
    <x:row r="2" ht="63" customHeight="1">
      <x:c r="A2" s="7" t="str">
        <x:v>D001</x:v>
      </x:c>
      <x:c r="B2" s="7" t="str">
        <x:v>蜜雪冰城</x:v>
      </x:c>
      <x:c r="C2" s="7" t="str">
        <x:v>冰鲜柠檬水</x:v>
      </x:c>
      <x:c r="D2" s="7" t="str">
        <x:v>660 ml（页面杯型范围，未映射到热量配置）</x:v>
      </x:c>
      <x:c r="E2" s="7" t="str">
        <x:v>未注明（估算按常规有糖配方，糖量为假设）</x:v>
      </x:c>
      <x:c r="F2" s="10" t="n">
        <x:v>180</x:v>
      </x:c>
      <x:c r="G2" s="7" t="str">
        <x:v>100–260</x:v>
      </x:c>
      <x:c r="H2" s="7" t="str">
        <x:v>配料估算</x:v>
      </x:c>
      <x:c r="I2" s="7" t="str"/>
      <x:c r="J2" s="12" t="str">
        <x:v>待核实</x:v>
      </x:c>
      <x:c r="K2" s="12" t="str"/>
      <x:c r="L2" s="7" t="str">
        <x:v>https://www.nckfhsm.com/products/bing-xian-ning-meng-shui-6</x:v>
      </x:c>
      <x:c r="M2" s="7" t="str">
        <x:v>来源仅支持名称/配料，不支持本条整杯数值。假设柠檬等20 kcal+可消化糖40g×4=160 kcal；糖量假设25–60g。网页20 kcal未注明糖度，不能视作正常糖整杯。</x:v>
      </x:c>
      <x:c r="N2" s="7" t="str">
        <x:v>待核对中国大陆门店是否常售，以及本杯容量、糖度、冰量和自带料；不能按整杯热量直接乘糖度比例。 本条第三方容量/价格可能混有地区版本；不要据其价格判断大陆常规版。</x:v>
      </x:c>
      <x:c r="O2" s="7" t="str">
        <x:v>2026-10-04</x:v>
      </x:c>
    </x:row>
    <x:row r="3" ht="46" customHeight="1">
      <x:c r="A3" s="9" t="str">
        <x:v>D002</x:v>
      </x:c>
      <x:c r="B3" s="9" t="str">
        <x:v>蜜雪冰城</x:v>
      </x:c>
      <x:c r="C3" s="9" t="str">
        <x:v>珍珠奶茶</x:v>
      </x:c>
      <x:c r="D3" s="9" t="str">
        <x:v>505~660 ml（页面杯型范围，未映射到热量配置）</x:v>
      </x:c>
      <x:c r="E3" s="9" t="str">
        <x:v>未注明（估算按常规有糖配方，糖量为假设）</x:v>
      </x:c>
      <x:c r="F3" s="11" t="n">
        <x:v>380</x:v>
      </x:c>
      <x:c r="G3" s="9" t="str">
        <x:v>280–520</x:v>
      </x:c>
      <x:c r="H3" s="9" t="str">
        <x:v>配料估算</x:v>
      </x:c>
      <x:c r="I3" s="9" t="str">
        <x:v>珍珠</x:v>
      </x:c>
      <x:c r="J3" s="12" t="str">
        <x:v>待核实</x:v>
      </x:c>
      <x:c r="K3" s="12" t="str"/>
      <x:c r="L3" s="9" t="str">
        <x:v>https://www.nckfhsm.com/products/zhen-zhu-nai-cha-11</x:v>
      </x:c>
      <x:c r="M3" s="9" t="str">
        <x:v>来源仅支持名称/配料，不支持本条整杯数值。假设奶茶基底240 kcal+熟珍珠50–70g约140 kcal；奶基及糖量未知。</x:v>
      </x:c>
      <x:c r="N3" s="9" t="str">
        <x:v>待核对中国大陆门店是否常售，以及本杯容量、糖度、冰量和自带料；不能按整杯热量直接乘糖度比例。 本条第三方容量/价格可能混有地区版本；不要据其价格判断大陆常规版。</x:v>
      </x:c>
      <x:c r="O3" s="9" t="str">
        <x:v>2026-10-04</x:v>
      </x:c>
    </x:row>
    <x:row r="4" ht="63" customHeight="1">
      <x:c r="A4" s="7" t="str">
        <x:v>D003</x:v>
      </x:c>
      <x:c r="B4" s="7" t="str">
        <x:v>蜜雪冰城</x:v>
      </x:c>
      <x:c r="C4" s="7" t="str">
        <x:v>茉莉奶绿</x:v>
      </x:c>
      <x:c r="D4" s="7" t="str">
        <x:v>505 ml（页面杯型范围，未映射到热量配置）</x:v>
      </x:c>
      <x:c r="E4" s="7" t="str">
        <x:v>未注明（页面列糖度选项，但没有热量与配置映射）</x:v>
      </x:c>
      <x:c r="F4" s="10" t="n">
        <x:v>107</x:v>
      </x:c>
      <x:c r="G4" s="7" t="str">
        <x:v>未注明</x:v>
      </x:c>
      <x:c r="H4" s="7" t="str">
        <x:v>第三方参考</x:v>
      </x:c>
      <x:c r="I4" s="7" t="str"/>
      <x:c r="J4" s="12" t="str">
        <x:v>待核实</x:v>
      </x:c>
      <x:c r="K4" s="12" t="str"/>
      <x:c r="L4" s="7" t="str">
        <x:v>https://www.nckfhsm.com/products/mo-li-nai-lv-8</x:v>
      </x:c>
      <x:c r="M4" s="7" t="str">
        <x:v>页面读取热量 107 kcal；有范围则取区间中点作暂用参考，非官方核实值。</x:v>
      </x:c>
      <x:c r="N4" s="7" t="str">
        <x:v>待核对中国大陆门店是否常售，以及本杯容量、糖度、冰量和自带料；不能按整杯热量直接乘糖度比例。 本条第三方容量/价格可能混有地区版本；不要据其价格判断大陆常规版。 来源未提供范围，未自行补造。</x:v>
      </x:c>
      <x:c r="O4" s="7" t="str">
        <x:v>2026-10-04</x:v>
      </x:c>
    </x:row>
    <x:row r="5" ht="63" customHeight="1">
      <x:c r="A5" s="9" t="str">
        <x:v>D004</x:v>
      </x:c>
      <x:c r="B5" s="9" t="str">
        <x:v>蜜雪冰城</x:v>
      </x:c>
      <x:c r="C5" s="9" t="str">
        <x:v>棒打鲜橙</x:v>
      </x:c>
      <x:c r="D5" s="9" t="str">
        <x:v>660 ml（页面杯型范围，未映射到热量配置）</x:v>
      </x:c>
      <x:c r="E5" s="9" t="str">
        <x:v>未注明（页面列糖度选项，但没有热量与配置映射）</x:v>
      </x:c>
      <x:c r="F5" s="11" t="n">
        <x:v>100</x:v>
      </x:c>
      <x:c r="G5" s="9" t="str">
        <x:v>未注明</x:v>
      </x:c>
      <x:c r="H5" s="9" t="str">
        <x:v>第三方参考</x:v>
      </x:c>
      <x:c r="I5" s="9" t="str"/>
      <x:c r="J5" s="12" t="str">
        <x:v>待核实</x:v>
      </x:c>
      <x:c r="K5" s="12" t="str"/>
      <x:c r="L5" s="9" t="str">
        <x:v>https://www.nckfhsm.com/products/bang-da-xian-cheng</x:v>
      </x:c>
      <x:c r="M5" s="9" t="str">
        <x:v>页面读取热量 100 kcal；有范围则取区间中点作暂用参考，非官方核实值。</x:v>
      </x:c>
      <x:c r="N5" s="9" t="str">
        <x:v>待核对中国大陆门店是否常售，以及本杯容量、糖度、冰量和自带料；不能按整杯热量直接乘糖度比例。 本条第三方容量/价格可能混有地区版本；不要据其价格判断大陆常规版。 来源未提供范围，未自行补造。</x:v>
      </x:c>
      <x:c r="O5" s="9" t="str">
        <x:v>2026-10-04</x:v>
      </x:c>
    </x:row>
    <x:row r="6" ht="46" customHeight="1">
      <x:c r="A6" s="7" t="str">
        <x:v>D005</x:v>
      </x:c>
      <x:c r="B6" s="7" t="str">
        <x:v>蜜雪冰城</x:v>
      </x:c>
      <x:c r="C6" s="7" t="str">
        <x:v>满杯百香果</x:v>
      </x:c>
      <x:c r="D6" s="7" t="str">
        <x:v>505~660 ml（页面杯型范围，未映射到热量配置）</x:v>
      </x:c>
      <x:c r="E6" s="7" t="str">
        <x:v>未注明（估算按常规有糖配方，糖量为假设）</x:v>
      </x:c>
      <x:c r="F6" s="10" t="n">
        <x:v>350</x:v>
      </x:c>
      <x:c r="G6" s="7" t="str">
        <x:v>220–480</x:v>
      </x:c>
      <x:c r="H6" s="7" t="str">
        <x:v>配料估算</x:v>
      </x:c>
      <x:c r="I6" s="7" t="str">
        <x:v>珍珠、椰果</x:v>
      </x:c>
      <x:c r="J6" s="12" t="str">
        <x:v>待核实</x:v>
      </x:c>
      <x:c r="K6" s="12" t="str"/>
      <x:c r="L6" s="7" t="str">
        <x:v>https://www.nckfhsm.com/products/man-bei-bai-xiang-guo-7</x:v>
      </x:c>
      <x:c r="M6" s="7" t="str">
        <x:v>来源仅支持名称/配料，不支持本条整杯数值。假设百香果浆80 kcal+糖30g×4=120 kcal+珍珠100 kcal+椰果50 kcal。</x:v>
      </x:c>
      <x:c r="N6" s="7" t="str">
        <x:v>待核对中国大陆门店是否常售，以及本杯容量、糖度、冰量和自带料；不能按整杯热量直接乘糖度比例。 本条第三方容量/价格可能混有地区版本；不要据其价格判断大陆常规版。</x:v>
      </x:c>
      <x:c r="O6" s="7" t="str">
        <x:v>2026-10-04</x:v>
      </x:c>
    </x:row>
    <x:row r="7" ht="63" customHeight="1">
      <x:c r="A7" s="9" t="str">
        <x:v>D006</x:v>
      </x:c>
      <x:c r="B7" s="9" t="str">
        <x:v>蜜雪冰城</x:v>
      </x:c>
      <x:c r="C7" s="9" t="str">
        <x:v>蜜桃四季春</x:v>
      </x:c>
      <x:c r="D7" s="9" t="str">
        <x:v>660 ml（页面杯型范围，未映射到热量配置）</x:v>
      </x:c>
      <x:c r="E7" s="9" t="str">
        <x:v>未注明（估算按常规有糖配方，糖量为假设）</x:v>
      </x:c>
      <x:c r="F7" s="11" t="n">
        <x:v>240</x:v>
      </x:c>
      <x:c r="G7" s="9" t="str">
        <x:v>150–350</x:v>
      </x:c>
      <x:c r="H7" s="9" t="str">
        <x:v>配料估算</x:v>
      </x:c>
      <x:c r="I7" s="9" t="str">
        <x:v>啵啵</x:v>
      </x:c>
      <x:c r="J7" s="12" t="str">
        <x:v>待核实</x:v>
      </x:c>
      <x:c r="K7" s="12" t="str"/>
      <x:c r="L7" s="9" t="str">
        <x:v>https://www.nckfhsm.com/products/mi-tao-si-ji-chun-43615</x:v>
      </x:c>
      <x:c r="M7" s="9" t="str">
        <x:v>来源仅支持名称/配料，不支持本条整杯数值。假设桃果浆80 kcal+可消化糖25g×4=100 kcal+啵啵60 kcal。</x:v>
      </x:c>
      <x:c r="N7" s="9" t="str">
        <x:v>待核对中国大陆门店是否常售，以及本杯容量、糖度、冰量和自带料；不能按整杯热量直接乘糖度比例。第三方出现同名多价格条目，须确认大陆常规版，配方/地区可能不同。 本条第三方容量/价格可能混有地区版本；不要据其价格判断大陆常规版。</x:v>
      </x:c>
      <x:c r="O7" s="9" t="str">
        <x:v>2026-10-04</x:v>
      </x:c>
    </x:row>
    <x:row r="8" ht="46" customHeight="1">
      <x:c r="A8" s="7" t="str">
        <x:v>D007</x:v>
      </x:c>
      <x:c r="B8" s="7" t="str">
        <x:v>蜜雪冰城</x:v>
      </x:c>
      <x:c r="C8" s="7" t="str">
        <x:v>三拼霸霸奶茶</x:v>
      </x:c>
      <x:c r="D8" s="7" t="str">
        <x:v>660 ml（页面杯型范围，未映射到热量配置）</x:v>
      </x:c>
      <x:c r="E8" s="7" t="str">
        <x:v>未注明（估算按常规有糖配方，糖量为假设）</x:v>
      </x:c>
      <x:c r="F8" s="10" t="n">
        <x:v>500</x:v>
      </x:c>
      <x:c r="G8" s="7" t="str">
        <x:v>350–650</x:v>
      </x:c>
      <x:c r="H8" s="7" t="str">
        <x:v>配料估算</x:v>
      </x:c>
      <x:c r="I8" s="7" t="str">
        <x:v>珍珠、椰果、布丁</x:v>
      </x:c>
      <x:c r="J8" s="12" t="str">
        <x:v>待核实</x:v>
      </x:c>
      <x:c r="K8" s="12" t="str"/>
      <x:c r="L8" s="7" t="str">
        <x:v>https://www.nckfhsm.com/products/san-pin-ba-ba-nai-cha-43125</x:v>
      </x:c>
      <x:c r="M8" s="7" t="str">
        <x:v>来源仅支持名称/配料，不支持本条整杯数值。假设奶茶基底280 kcal+珍珠100 kcal+布丁70 kcal+椰果50 kcal。</x:v>
      </x:c>
      <x:c r="N8" s="7" t="str">
        <x:v>待核对中国大陆门店是否常售，以及本杯容量、糖度、冰量和自带料；不能按整杯热量直接乘糖度比例。 本条第三方容量/价格可能混有地区版本；不要据其价格判断大陆常规版。</x:v>
      </x:c>
      <x:c r="O8" s="7" t="str">
        <x:v>2026-10-04</x:v>
      </x:c>
    </x:row>
    <x:row r="9" ht="63" customHeight="1">
      <x:c r="A9" s="9" t="str">
        <x:v>D008</x:v>
      </x:c>
      <x:c r="B9" s="9" t="str">
        <x:v>蜜雪冰城</x:v>
      </x:c>
      <x:c r="C9" s="9" t="str">
        <x:v>草莓摇摇奶昔</x:v>
      </x:c>
      <x:c r="D9" s="9" t="str">
        <x:v>420 ml（页面杯型范围，未映射到热量配置）</x:v>
      </x:c>
      <x:c r="E9" s="9" t="str">
        <x:v>未注明（估算按常规有糖配方，糖量为假设）</x:v>
      </x:c>
      <x:c r="F9" s="11" t="n">
        <x:v>250</x:v>
      </x:c>
      <x:c r="G9" s="9" t="str">
        <x:v>200–350</x:v>
      </x:c>
      <x:c r="H9" s="9" t="str">
        <x:v>配料估算</x:v>
      </x:c>
      <x:c r="I9" s="9" t="str">
        <x:v>冰淇淋、草莓果浆</x:v>
      </x:c>
      <x:c r="J9" s="12" t="str">
        <x:v>待核实</x:v>
      </x:c>
      <x:c r="K9" s="12" t="str"/>
      <x:c r="L9" s="9" t="str">
        <x:v>https://www.nckfhsm.com/products/cao-mei-yao-yao-nai-xi-mi-xue-bing-cheng</x:v>
      </x:c>
      <x:c r="M9" s="9" t="str">
        <x:v>来源仅支持名称/配料，不支持本条整杯数值。菜单注明冰淇淋115–125g；假设其约180 kcal，草莓果浆及糖约70 kcal。</x:v>
      </x:c>
      <x:c r="N9" s="9" t="str">
        <x:v>待核对中国大陆门店是否常售，以及本杯容量、糖度、冰量和自带料；不能按整杯热量直接乘糖度比例。 本条第三方容量/价格可能混有地区版本；不要据其价格判断大陆常规版。</x:v>
      </x:c>
      <x:c r="O9" s="9" t="str">
        <x:v>2026-10-04</x:v>
      </x:c>
    </x:row>
    <x:row r="10" ht="63" customHeight="1">
      <x:c r="A10" s="7" t="str">
        <x:v>D009</x:v>
      </x:c>
      <x:c r="B10" s="7" t="str">
        <x:v>霸王茶姬</x:v>
      </x:c>
      <x:c r="C10" s="7" t="str">
        <x:v>伯牙绝弦</x:v>
      </x:c>
      <x:c r="D10" s="7" t="str">
        <x:v>500~700 ml（页面杯型范围，未映射到热量配置）</x:v>
      </x:c>
      <x:c r="E10" s="7" t="str">
        <x:v>未注明（页面列糖度选项，但没有热量与配置映射）</x:v>
      </x:c>
      <x:c r="F10" s="10" t="n">
        <x:v>258</x:v>
      </x:c>
      <x:c r="G10" s="7" t="str">
        <x:v>238–277</x:v>
      </x:c>
      <x:c r="H10" s="7" t="str">
        <x:v>第三方参考</x:v>
      </x:c>
      <x:c r="I10" s="7" t="str"/>
      <x:c r="J10" s="12" t="str">
        <x:v>待核实</x:v>
      </x:c>
      <x:c r="K10" s="12" t="str"/>
      <x:c r="L10" s="7" t="str">
        <x:v>https://www.nckfhsm.com/products/bo-ya-jue-xian</x:v>
      </x:c>
      <x:c r="M10" s="7" t="str">
        <x:v>页面读取热量 238~277 kcal；有范围则取区间中点作暂用参考，非官方核实值。</x:v>
      </x:c>
      <x:c r="N10" s="7" t="str">
        <x:v>待核对中国大陆门店是否常售，以及本杯容量、糖度、冰量和自带料；不能按整杯热量直接乘糖度比例。优先到官方健康计算器 https://qmproductcomput.bwcj.com/ 逐配置核对；本轮未从动态页面取得该数值。</x:v>
      </x:c>
      <x:c r="O10" s="7" t="str">
        <x:v>2026-10-04</x:v>
      </x:c>
    </x:row>
    <x:row r="11" ht="80" customHeight="1">
      <x:c r="A11" s="9" t="str">
        <x:v>D010</x:v>
      </x:c>
      <x:c r="B11" s="9" t="str">
        <x:v>霸王茶姬</x:v>
      </x:c>
      <x:c r="C11" s="9" t="str">
        <x:v>青青糯山</x:v>
      </x:c>
      <x:c r="D11" s="9" t="str">
        <x:v>500~700 ml（页面杯型范围，未映射到热量配置）</x:v>
      </x:c>
      <x:c r="E11" s="9" t="str">
        <x:v>未注明（页面列糖度选项，但没有热量与配置映射）</x:v>
      </x:c>
      <x:c r="F11" s="11" t="n">
        <x:v>291</x:v>
      </x:c>
      <x:c r="G11" s="9" t="str">
        <x:v>未注明</x:v>
      </x:c>
      <x:c r="H11" s="9" t="str">
        <x:v>第三方参考</x:v>
      </x:c>
      <x:c r="I11" s="9" t="str"/>
      <x:c r="J11" s="12" t="str">
        <x:v>待核实</x:v>
      </x:c>
      <x:c r="K11" s="12" t="str"/>
      <x:c r="L11" s="9" t="str">
        <x:v>https://www.nckfhsm.com/products/qing-qing-nuo-shan</x:v>
      </x:c>
      <x:c r="M11" s="9" t="str">
        <x:v>页面读取热量 291 kcal；有范围则取区间中点作暂用参考，非官方核实值。</x:v>
      </x:c>
      <x:c r="N11" s="9" t="str">
        <x:v>待核对中国大陆门店是否常售，以及本杯容量、糖度、冰量和自带料；不能按整杯热量直接乘糖度比例。优先到官方健康计算器 https://qmproductcomput.bwcj.com/ 逐配置核对；本轮未从动态页面取得该数值。 来源未提供范围，未自行补造。</x:v>
      </x:c>
      <x:c r="O11" s="9" t="str">
        <x:v>2026-10-04</x:v>
      </x:c>
    </x:row>
    <x:row r="12" ht="63" customHeight="1">
      <x:c r="A12" s="7" t="str">
        <x:v>D011</x:v>
      </x:c>
      <x:c r="B12" s="7" t="str">
        <x:v>霸王茶姬</x:v>
      </x:c>
      <x:c r="C12" s="7" t="str">
        <x:v>花田乌龙</x:v>
      </x:c>
      <x:c r="D12" s="7" t="str">
        <x:v>500~700 ml（页面杯型范围，未映射到热量配置）</x:v>
      </x:c>
      <x:c r="E12" s="7" t="str">
        <x:v>未注明（页面列糖度选项，但没有热量与配置映射）</x:v>
      </x:c>
      <x:c r="F12" s="10" t="n">
        <x:v>198</x:v>
      </x:c>
      <x:c r="G12" s="7" t="str">
        <x:v>124–273</x:v>
      </x:c>
      <x:c r="H12" s="7" t="str">
        <x:v>第三方参考</x:v>
      </x:c>
      <x:c r="I12" s="7" t="str"/>
      <x:c r="J12" s="12" t="str">
        <x:v>待核实</x:v>
      </x:c>
      <x:c r="K12" s="12" t="str"/>
      <x:c r="L12" s="7" t="str">
        <x:v>https://www.nckfhsm.com/products/hua-tian-wu-long</x:v>
      </x:c>
      <x:c r="M12" s="7" t="str">
        <x:v>页面读取热量 124~273 kcal；有范围则取区间中点作暂用参考，非官方核实值。</x:v>
      </x:c>
      <x:c r="N12" s="7" t="str">
        <x:v>待核对中国大陆门店是否常售，以及本杯容量、糖度、冰量和自带料；不能按整杯热量直接乘糖度比例。优先到官方健康计算器 https://qmproductcomput.bwcj.com/ 逐配置核对；本轮未从动态页面取得该数值。</x:v>
      </x:c>
      <x:c r="O12" s="7" t="str">
        <x:v>2026-10-04</x:v>
      </x:c>
    </x:row>
    <x:row r="13" ht="80" customHeight="1">
      <x:c r="A13" s="9" t="str">
        <x:v>D012</x:v>
      </x:c>
      <x:c r="B13" s="9" t="str">
        <x:v>霸王茶姬</x:v>
      </x:c>
      <x:c r="C13" s="9" t="str">
        <x:v>白雾红尘</x:v>
      </x:c>
      <x:c r="D13" s="9" t="str">
        <x:v>500~700 ml（页面杯型范围，未映射到热量配置）</x:v>
      </x:c>
      <x:c r="E13" s="9" t="str">
        <x:v>未注明（页面列糖度选项，但没有热量与配置映射）</x:v>
      </x:c>
      <x:c r="F13" s="11" t="n">
        <x:v>320</x:v>
      </x:c>
      <x:c r="G13" s="9" t="str">
        <x:v>未注明</x:v>
      </x:c>
      <x:c r="H13" s="9" t="str">
        <x:v>第三方参考</x:v>
      </x:c>
      <x:c r="I13" s="9" t="str"/>
      <x:c r="J13" s="12" t="str">
        <x:v>待核实</x:v>
      </x:c>
      <x:c r="K13" s="12" t="str"/>
      <x:c r="L13" s="9" t="str">
        <x:v>https://www.nckfhsm.com/products/bai-wu-hong-chen</x:v>
      </x:c>
      <x:c r="M13" s="9" t="str">
        <x:v>页面读取热量 320 kcal；有范围则取区间中点作暂用参考，非官方核实值。</x:v>
      </x:c>
      <x:c r="N13" s="9" t="str">
        <x:v>待核对中国大陆门店是否常售，以及本杯容量、糖度、冰量和自带料；不能按整杯热量直接乘糖度比例。优先到官方健康计算器 https://qmproductcomput.bwcj.com/ 逐配置核对；本轮未从动态页面取得该数值。 来源未提供范围，未自行补造。</x:v>
      </x:c>
      <x:c r="O13" s="9" t="str">
        <x:v>2026-10-04</x:v>
      </x:c>
    </x:row>
    <x:row r="14" ht="63" customHeight="1">
      <x:c r="A14" s="7" t="str">
        <x:v>D013</x:v>
      </x:c>
      <x:c r="B14" s="7" t="str">
        <x:v>霸王茶姬</x:v>
      </x:c>
      <x:c r="C14" s="7" t="str">
        <x:v>寻香山茶</x:v>
      </x:c>
      <x:c r="D14" s="7" t="str">
        <x:v>500~700 ml（页面杯型范围，未映射到热量配置）</x:v>
      </x:c>
      <x:c r="E14" s="7" t="str">
        <x:v>未注明（页面列糖度选项，但没有热量与配置映射）</x:v>
      </x:c>
      <x:c r="F14" s="10" t="n">
        <x:v>192</x:v>
      </x:c>
      <x:c r="G14" s="7" t="str">
        <x:v>93–290</x:v>
      </x:c>
      <x:c r="H14" s="7" t="str">
        <x:v>第三方参考</x:v>
      </x:c>
      <x:c r="I14" s="7" t="str"/>
      <x:c r="J14" s="12" t="str">
        <x:v>待核实</x:v>
      </x:c>
      <x:c r="K14" s="12" t="str"/>
      <x:c r="L14" s="7" t="str">
        <x:v>https://www.nckfhsm.com/products/xun-xiang-shan-cha</x:v>
      </x:c>
      <x:c r="M14" s="7" t="str">
        <x:v>页面读取热量 93~290 kcal；有范围则取区间中点作暂用参考，非官方核实值。</x:v>
      </x:c>
      <x:c r="N14" s="7" t="str">
        <x:v>待核对中国大陆门店是否常售，以及本杯容量、糖度、冰量和自带料；不能按整杯热量直接乘糖度比例。优先到官方健康计算器 https://qmproductcomput.bwcj.com/ 逐配置核对；本轮未从动态页面取得该数值。</x:v>
      </x:c>
      <x:c r="O14" s="7" t="str">
        <x:v>2026-10-04</x:v>
      </x:c>
    </x:row>
    <x:row r="15" ht="80" customHeight="1">
      <x:c r="A15" s="9" t="str">
        <x:v>D014</x:v>
      </x:c>
      <x:c r="B15" s="9" t="str">
        <x:v>霸王茶姬</x:v>
      </x:c>
      <x:c r="C15" s="9" t="str">
        <x:v>桂馥兰香</x:v>
      </x:c>
      <x:c r="D15" s="9" t="str">
        <x:v>500~700 ml（页面杯型范围，未映射到热量配置）</x:v>
      </x:c>
      <x:c r="E15" s="9" t="str">
        <x:v>未注明（页面列糖度选项，但没有热量与配置映射）</x:v>
      </x:c>
      <x:c r="F15" s="11" t="n">
        <x:v>233</x:v>
      </x:c>
      <x:c r="G15" s="9" t="str">
        <x:v>未注明</x:v>
      </x:c>
      <x:c r="H15" s="9" t="str">
        <x:v>第三方参考</x:v>
      </x:c>
      <x:c r="I15" s="9" t="str"/>
      <x:c r="J15" s="12" t="str">
        <x:v>待核实</x:v>
      </x:c>
      <x:c r="K15" s="12" t="str"/>
      <x:c r="L15" s="9" t="str">
        <x:v>https://www.nckfhsm.com/products/gui-fu-lan-xiang</x:v>
      </x:c>
      <x:c r="M15" s="9" t="str">
        <x:v>页面读取热量 233 kcal；有范围则取区间中点作暂用参考，非官方核实值。</x:v>
      </x:c>
      <x:c r="N15" s="9" t="str">
        <x:v>待核对中国大陆门店是否常售，以及本杯容量、糖度、冰量和自带料；不能按整杯热量直接乘糖度比例。优先到官方健康计算器 https://qmproductcomput.bwcj.com/ 逐配置核对；本轮未从动态页面取得该数值。 来源未提供范围，未自行补造。</x:v>
      </x:c>
      <x:c r="O15" s="9" t="str">
        <x:v>2026-10-04</x:v>
      </x:c>
    </x:row>
    <x:row r="16" ht="63" customHeight="1">
      <x:c r="A16" s="7" t="str">
        <x:v>D015</x:v>
      </x:c>
      <x:c r="B16" s="7" t="str">
        <x:v>霸王茶姬</x:v>
      </x:c>
      <x:c r="C16" s="7" t="str">
        <x:v>轻因·伯牙绝弦</x:v>
      </x:c>
      <x:c r="D16" s="7" t="str">
        <x:v>500~700 ml（页面杯型范围，未映射到热量配置）</x:v>
      </x:c>
      <x:c r="E16" s="7" t="str">
        <x:v>未注明（页面列糖度选项，但没有热量与配置映射）</x:v>
      </x:c>
      <x:c r="F16" s="10" t="n">
        <x:v>183</x:v>
      </x:c>
      <x:c r="G16" s="7" t="str">
        <x:v>106–260</x:v>
      </x:c>
      <x:c r="H16" s="7" t="str">
        <x:v>第三方参考</x:v>
      </x:c>
      <x:c r="I16" s="7" t="str"/>
      <x:c r="J16" s="12" t="str">
        <x:v>待核实</x:v>
      </x:c>
      <x:c r="K16" s="12" t="str"/>
      <x:c r="L16" s="7" t="str">
        <x:v>https://www.nckfhsm.com/products/qing-yin-bo-ya-jue-xian</x:v>
      </x:c>
      <x:c r="M16" s="7" t="str">
        <x:v>页面读取热量 106~260 kcal；有范围则取区间中点作暂用参考，非官方核实值。</x:v>
      </x:c>
      <x:c r="N16" s="7" t="str">
        <x:v>待核对中国大陆门店是否常售，以及本杯容量、糖度、冰量和自带料；不能按整杯热量直接乘糖度比例。优先到官方健康计算器 https://qmproductcomput.bwcj.com/ 逐配置核对；本轮未从动态页面取得该数值。</x:v>
      </x:c>
      <x:c r="O16" s="7" t="str">
        <x:v>2026-10-04</x:v>
      </x:c>
    </x:row>
    <x:row r="17" ht="80" customHeight="1">
      <x:c r="A17" s="9" t="str">
        <x:v>D016</x:v>
      </x:c>
      <x:c r="B17" s="9" t="str">
        <x:v>霸王茶姬</x:v>
      </x:c>
      <x:c r="C17" s="9" t="str">
        <x:v>凤凰栖梧</x:v>
      </x:c>
      <x:c r="D17" s="9" t="str">
        <x:v>未注明（按常见一杯暂估，须核对容量）</x:v>
      </x:c>
      <x:c r="E17" s="9" t="str">
        <x:v>未注明（页面列糖度选项，但没有热量与配置映射）</x:v>
      </x:c>
      <x:c r="F17" s="11" t="n">
        <x:v>190</x:v>
      </x:c>
      <x:c r="G17" s="9" t="str">
        <x:v>未注明</x:v>
      </x:c>
      <x:c r="H17" s="9" t="str">
        <x:v>第三方参考</x:v>
      </x:c>
      <x:c r="I17" s="9" t="str"/>
      <x:c r="J17" s="12" t="str">
        <x:v>待核实</x:v>
      </x:c>
      <x:c r="K17" s="12" t="str"/>
      <x:c r="L17" s="9" t="str">
        <x:v>https://www.nckfhsm.com/products/feng-huang-qi-wu</x:v>
      </x:c>
      <x:c r="M17" s="9" t="str">
        <x:v>页面读取热量 190 kcal；有范围则取区间中点作暂用参考，非官方核实值。</x:v>
      </x:c>
      <x:c r="N17" s="9" t="str">
        <x:v>待核对中国大陆门店是否常售，以及本杯容量、糖度、冰量和自带料；不能按整杯热量直接乘糖度比例。优先到官方健康计算器 https://qmproductcomput.bwcj.com/ 逐配置核对；本轮未从动态页面取得该数值。 来源未提供范围，未自行补造。</x:v>
      </x:c>
      <x:c r="O17" s="9" t="str">
        <x:v>2026-10-04</x:v>
      </x:c>
    </x:row>
    <x:row r="18" ht="46" customHeight="1">
      <x:c r="A18" s="7" t="str">
        <x:v>D017</x:v>
      </x:c>
      <x:c r="B18" s="7" t="str">
        <x:v>喜茶</x:v>
      </x:c>
      <x:c r="C18" s="7" t="str">
        <x:v>多肉葡萄(首创)</x:v>
      </x:c>
      <x:c r="D18" s="7" t="str">
        <x:v>500~650 ml（页面杯型范围，未映射到热量配置）</x:v>
      </x:c>
      <x:c r="E18" s="7" t="str">
        <x:v>未注明（页面列糖度选项，但没有热量与配置映射）</x:v>
      </x:c>
      <x:c r="F18" s="10" t="n">
        <x:v>188</x:v>
      </x:c>
      <x:c r="G18" s="7" t="str">
        <x:v>159–216</x:v>
      </x:c>
      <x:c r="H18" s="7" t="str">
        <x:v>第三方参考</x:v>
      </x:c>
      <x:c r="I18" s="7" t="str"/>
      <x:c r="J18" s="12" t="str">
        <x:v>待核实</x:v>
      </x:c>
      <x:c r="K18" s="12" t="str"/>
      <x:c r="L18" s="7" t="str">
        <x:v>https://www.nckfhsm.com/products/duo-rou-pu-tao-shou-chuang</x:v>
      </x:c>
      <x:c r="M18" s="7" t="str">
        <x:v>页面读取热量 159~216 kcal；有范围则取区间中点作暂用参考，非官方核实值。</x:v>
      </x:c>
      <x:c r="N18" s="7" t="str">
        <x:v>待核对中国大陆门店是否常售，以及本杯容量、糖度、冰量和自带料；不能按整杯热量直接乘糖度比例。</x:v>
      </x:c>
      <x:c r="O18" s="7" t="str">
        <x:v>2026-10-04</x:v>
      </x:c>
    </x:row>
    <x:row r="19" ht="46" customHeight="1">
      <x:c r="A19" s="9" t="str">
        <x:v>D018</x:v>
      </x:c>
      <x:c r="B19" s="9" t="str">
        <x:v>喜茶</x:v>
      </x:c>
      <x:c r="C19" s="9" t="str">
        <x:v>芒芒甘露(首创)</x:v>
      </x:c>
      <x:c r="D19" s="9" t="str">
        <x:v>500 ml（页面杯型范围，未映射到热量配置）</x:v>
      </x:c>
      <x:c r="E19" s="9" t="str">
        <x:v>未注明（页面列糖度选项，但没有热量与配置映射）</x:v>
      </x:c>
      <x:c r="F19" s="11" t="n">
        <x:v>316</x:v>
      </x:c>
      <x:c r="G19" s="9" t="str">
        <x:v>283–348</x:v>
      </x:c>
      <x:c r="H19" s="9" t="str">
        <x:v>第三方参考</x:v>
      </x:c>
      <x:c r="I19" s="9" t="str">
        <x:v>西米、芒果果肉、红柚</x:v>
      </x:c>
      <x:c r="J19" s="12" t="str">
        <x:v>待核实</x:v>
      </x:c>
      <x:c r="K19" s="12" t="str"/>
      <x:c r="L19" s="9" t="str">
        <x:v>https://www.nckfhsm.com/products/mang-mang-gan-lu-shou-chuang</x:v>
      </x:c>
      <x:c r="M19" s="9" t="str">
        <x:v>页面读取热量 283~348 kcal；有范围则取区间中点作暂用参考，非官方核实值。</x:v>
      </x:c>
      <x:c r="N19" s="9" t="str">
        <x:v>待核对中国大陆门店是否常售，以及本杯容量、糖度、冰量和自带料；不能按整杯热量直接乘糖度比例。</x:v>
      </x:c>
      <x:c r="O19" s="9" t="str">
        <x:v>2026-10-04</x:v>
      </x:c>
    </x:row>
    <x:row r="20" ht="46" customHeight="1">
      <x:c r="A20" s="7" t="str">
        <x:v>D019</x:v>
      </x:c>
      <x:c r="B20" s="7" t="str">
        <x:v>喜茶</x:v>
      </x:c>
      <x:c r="C20" s="7" t="str">
        <x:v>椰椰芒芒</x:v>
      </x:c>
      <x:c r="D20" s="7" t="str">
        <x:v>500 ml（页面杯型范围，未映射到热量配置）</x:v>
      </x:c>
      <x:c r="E20" s="7" t="str">
        <x:v>未注明（页面列糖度选项，但没有热量与配置映射）</x:v>
      </x:c>
      <x:c r="F20" s="10" t="n">
        <x:v>315</x:v>
      </x:c>
      <x:c r="G20" s="7" t="str">
        <x:v>279–351</x:v>
      </x:c>
      <x:c r="H20" s="7" t="str">
        <x:v>第三方参考</x:v>
      </x:c>
      <x:c r="I20" s="7" t="str">
        <x:v>西米、弹弹冻、芒果果肉</x:v>
      </x:c>
      <x:c r="J20" s="12" t="str">
        <x:v>待核实</x:v>
      </x:c>
      <x:c r="K20" s="12" t="str"/>
      <x:c r="L20" s="7" t="str">
        <x:v>https://www.nckfhsm.com/products/ye-ye-mang-mang</x:v>
      </x:c>
      <x:c r="M20" s="7" t="str">
        <x:v>页面读取热量 279~351 kcal；有范围则取区间中点作暂用参考，非官方核实值。</x:v>
      </x:c>
      <x:c r="N20" s="7" t="str">
        <x:v>待核对中国大陆门店是否常售，以及本杯容量、糖度、冰量和自带料；不能按整杯热量直接乘糖度比例。</x:v>
      </x:c>
      <x:c r="O20" s="7" t="str">
        <x:v>2026-10-04</x:v>
      </x:c>
    </x:row>
    <x:row r="21" ht="46" customHeight="1">
      <x:c r="A21" s="9" t="str">
        <x:v>D020</x:v>
      </x:c>
      <x:c r="B21" s="9" t="str">
        <x:v>喜茶</x:v>
      </x:c>
      <x:c r="C21" s="9" t="str">
        <x:v>烤黑糖波波牛乳茶</x:v>
      </x:c>
      <x:c r="D21" s="9" t="str">
        <x:v>500 ml（页面杯型范围，未映射到热量配置）</x:v>
      </x:c>
      <x:c r="E21" s="9" t="str">
        <x:v>未注明（页面列糖度选项，但没有热量与配置映射）</x:v>
      </x:c>
      <x:c r="F21" s="11" t="n">
        <x:v>410</x:v>
      </x:c>
      <x:c r="G21" s="9" t="str">
        <x:v>未注明</x:v>
      </x:c>
      <x:c r="H21" s="9" t="str">
        <x:v>第三方参考</x:v>
      </x:c>
      <x:c r="I21" s="9" t="str">
        <x:v>黑糖珍珠</x:v>
      </x:c>
      <x:c r="J21" s="12" t="str">
        <x:v>待核实</x:v>
      </x:c>
      <x:c r="K21" s="12" t="str"/>
      <x:c r="L21" s="9" t="str">
        <x:v>https://www.nckfhsm.com/products/kao-hei-tang-bo-bo-niu-ru-cha</x:v>
      </x:c>
      <x:c r="M21" s="9" t="str">
        <x:v>页面读取热量 410 kcal；有范围则取区间中点作暂用参考，非官方核实值。</x:v>
      </x:c>
      <x:c r="N21" s="9" t="str">
        <x:v>待核对中国大陆门店是否常售，以及本杯容量、糖度、冰量和自带料；不能按整杯热量直接乘糖度比例。 来源未提供范围，未自行补造。</x:v>
      </x:c>
      <x:c r="O21" s="9" t="str">
        <x:v>2026-10-04</x:v>
      </x:c>
    </x:row>
    <x:row r="22" ht="46" customHeight="1">
      <x:c r="A22" s="7" t="str">
        <x:v>D021</x:v>
      </x:c>
      <x:c r="B22" s="7" t="str">
        <x:v>喜茶</x:v>
      </x:c>
      <x:c r="C22" s="7" t="str">
        <x:v>三倍厚抹</x:v>
      </x:c>
      <x:c r="D22" s="7" t="str">
        <x:v>500 ml（页面杯型范围，未映射到热量配置）</x:v>
      </x:c>
      <x:c r="E22" s="7" t="str">
        <x:v>未注明（页面列糖度选项，但没有热量与配置映射）</x:v>
      </x:c>
      <x:c r="F22" s="10" t="n">
        <x:v>420</x:v>
      </x:c>
      <x:c r="G22" s="7" t="str">
        <x:v>388–453</x:v>
      </x:c>
      <x:c r="H22" s="7" t="str">
        <x:v>第三方参考</x:v>
      </x:c>
      <x:c r="I22" s="7" t="str">
        <x:v>奶盖</x:v>
      </x:c>
      <x:c r="J22" s="12" t="str">
        <x:v>待核实</x:v>
      </x:c>
      <x:c r="K22" s="12" t="str"/>
      <x:c r="L22" s="7" t="str">
        <x:v>https://www.nckfhsm.com/products/san-bei-hou-mo</x:v>
      </x:c>
      <x:c r="M22" s="7" t="str">
        <x:v>页面读取热量 388~453 kcal；有范围则取区间中点作暂用参考，非官方核实值。</x:v>
      </x:c>
      <x:c r="N22" s="7" t="str">
        <x:v>待核对中国大陆门店是否常售，以及本杯容量、糖度、冰量和自带料；不能按整杯热量直接乘糖度比例。</x:v>
      </x:c>
      <x:c r="O22" s="7" t="str">
        <x:v>2026-10-04</x:v>
      </x:c>
    </x:row>
    <x:row r="23" ht="46" customHeight="1">
      <x:c r="A23" s="9" t="str">
        <x:v>D022</x:v>
      </x:c>
      <x:c r="B23" s="9" t="str">
        <x:v>喜茶</x:v>
      </x:c>
      <x:c r="C23" s="9" t="str">
        <x:v>满杯红柚(首创)</x:v>
      </x:c>
      <x:c r="D23" s="9" t="str">
        <x:v>500~650 ml（页面杯型范围，未映射到热量配置）</x:v>
      </x:c>
      <x:c r="E23" s="9" t="str">
        <x:v>未注明（页面列糖度选项，但没有热量与配置映射）</x:v>
      </x:c>
      <x:c r="F23" s="11" t="n">
        <x:v>200</x:v>
      </x:c>
      <x:c r="G23" s="9" t="str">
        <x:v>171–230</x:v>
      </x:c>
      <x:c r="H23" s="9" t="str">
        <x:v>第三方参考</x:v>
      </x:c>
      <x:c r="I23" s="9" t="str"/>
      <x:c r="J23" s="12" t="str">
        <x:v>待核实</x:v>
      </x:c>
      <x:c r="K23" s="12" t="str"/>
      <x:c r="L23" s="9" t="str">
        <x:v>https://www.nckfhsm.com/products/man-bei-hong-you-shou-chuang</x:v>
      </x:c>
      <x:c r="M23" s="9" t="str">
        <x:v>页面读取热量 171~230 kcal；有范围则取区间中点作暂用参考，非官方核实值。</x:v>
      </x:c>
      <x:c r="N23" s="9" t="str">
        <x:v>待核对中国大陆门店是否常售，以及本杯容量、糖度、冰量和自带料；不能按整杯热量直接乘糖度比例。</x:v>
      </x:c>
      <x:c r="O23" s="9" t="str">
        <x:v>2026-10-04</x:v>
      </x:c>
    </x:row>
    <x:row r="24" ht="46" customHeight="1">
      <x:c r="A24" s="7" t="str">
        <x:v>D023</x:v>
      </x:c>
      <x:c r="B24" s="7" t="str">
        <x:v>喜茶</x:v>
      </x:c>
      <x:c r="C24" s="7" t="str">
        <x:v>雪毫茉王牛乳茶</x:v>
      </x:c>
      <x:c r="D24" s="7" t="str">
        <x:v>500 ml（页面杯型范围，未映射到热量配置）</x:v>
      </x:c>
      <x:c r="E24" s="7" t="str">
        <x:v>未注明（页面列糖度选项，但没有热量与配置映射）</x:v>
      </x:c>
      <x:c r="F24" s="10" t="n">
        <x:v>214</x:v>
      </x:c>
      <x:c r="G24" s="7" t="str">
        <x:v>178–249</x:v>
      </x:c>
      <x:c r="H24" s="7" t="str">
        <x:v>第三方参考</x:v>
      </x:c>
      <x:c r="I24" s="7" t="str"/>
      <x:c r="J24" s="12" t="str">
        <x:v>待核实</x:v>
      </x:c>
      <x:c r="K24" s="12" t="str"/>
      <x:c r="L24" s="7" t="str">
        <x:v>https://www.nckfhsm.com/products/xue-hao-mo-wang-niu-ru-cha</x:v>
      </x:c>
      <x:c r="M24" s="7" t="str">
        <x:v>页面读取热量 178~249 kcal；有范围则取区间中点作暂用参考，非官方核实值。</x:v>
      </x:c>
      <x:c r="N24" s="7" t="str">
        <x:v>待核对中国大陆门店是否常售，以及本杯容量、糖度、冰量和自带料；不能按整杯热量直接乘糖度比例。</x:v>
      </x:c>
      <x:c r="O24" s="7" t="str">
        <x:v>2026-10-04</x:v>
      </x:c>
    </x:row>
    <x:row r="25" ht="46" customHeight="1">
      <x:c r="A25" s="9" t="str">
        <x:v>D024</x:v>
      </x:c>
      <x:c r="B25" s="9" t="str">
        <x:v>茶百道</x:v>
      </x:c>
      <x:c r="C25" s="9" t="str">
        <x:v>茉莉奶绿</x:v>
      </x:c>
      <x:c r="D25" s="9" t="str">
        <x:v>475~650 ml（页面杯型范围，未映射到热量配置）</x:v>
      </x:c>
      <x:c r="E25" s="9" t="str">
        <x:v>未注明（页面列糖度选项，但没有热量与配置映射）</x:v>
      </x:c>
      <x:c r="F25" s="11" t="n">
        <x:v>275</x:v>
      </x:c>
      <x:c r="G25" s="9" t="str">
        <x:v>250–300</x:v>
      </x:c>
      <x:c r="H25" s="9" t="str">
        <x:v>第三方参考</x:v>
      </x:c>
      <x:c r="I25" s="9" t="str"/>
      <x:c r="J25" s="12" t="str">
        <x:v>待核实</x:v>
      </x:c>
      <x:c r="K25" s="12" t="str"/>
      <x:c r="L25" s="9" t="str">
        <x:v>https://www.nckfhsm.com/products/mo-li-nai-lv-25380</x:v>
      </x:c>
      <x:c r="M25" s="9" t="str">
        <x:v>页面读取热量 250~300 kcal；有范围则取区间中点作暂用参考，非官方核实值。</x:v>
      </x:c>
      <x:c r="N25" s="9" t="str">
        <x:v>待核对中国大陆门店是否常售，以及本杯容量、糖度、冰量和自带料；不能按整杯热量直接乘糖度比例。</x:v>
      </x:c>
      <x:c r="O25" s="9" t="str">
        <x:v>2026-10-04</x:v>
      </x:c>
    </x:row>
    <x:row r="26" ht="46" customHeight="1">
      <x:c r="A26" s="7" t="str">
        <x:v>D025</x:v>
      </x:c>
      <x:c r="B26" s="7" t="str">
        <x:v>茶百道</x:v>
      </x:c>
      <x:c r="C26" s="7" t="str">
        <x:v>杨枝甘露</x:v>
      </x:c>
      <x:c r="D26" s="7" t="str">
        <x:v>475~650 ml（页面杯型范围，未映射到热量配置）</x:v>
      </x:c>
      <x:c r="E26" s="7" t="str">
        <x:v>未注明（页面列糖度选项，但没有热量与配置映射）</x:v>
      </x:c>
      <x:c r="F26" s="10" t="n">
        <x:v>345</x:v>
      </x:c>
      <x:c r="G26" s="7" t="str">
        <x:v>310–380</x:v>
      </x:c>
      <x:c r="H26" s="7" t="str">
        <x:v>第三方参考</x:v>
      </x:c>
      <x:c r="I26" s="7" t="str">
        <x:v>西米、芒果</x:v>
      </x:c>
      <x:c r="J26" s="12" t="str">
        <x:v>待核实</x:v>
      </x:c>
      <x:c r="K26" s="12" t="str"/>
      <x:c r="L26" s="7" t="str">
        <x:v>https://www.nckfhsm.com/products/yang-zhi-gan-lu-25361</x:v>
      </x:c>
      <x:c r="M26" s="7" t="str">
        <x:v>页面读取热量 310~380 kcal；有范围则取区间中点作暂用参考，非官方核实值。</x:v>
      </x:c>
      <x:c r="N26" s="7" t="str">
        <x:v>待核对中国大陆门店是否常售，以及本杯容量、糖度、冰量和自带料；不能按整杯热量直接乘糖度比例。</x:v>
      </x:c>
      <x:c r="O26" s="7" t="str">
        <x:v>2026-10-04</x:v>
      </x:c>
    </x:row>
    <x:row r="27" ht="46" customHeight="1">
      <x:c r="A27" s="9" t="str">
        <x:v>D026</x:v>
      </x:c>
      <x:c r="B27" s="9" t="str">
        <x:v>茶百道</x:v>
      </x:c>
      <x:c r="C27" s="9" t="str">
        <x:v>豆乳米麻薯</x:v>
      </x:c>
      <x:c r="D27" s="9" t="str">
        <x:v>475~650 ml（页面杯型范围，未映射到热量配置）</x:v>
      </x:c>
      <x:c r="E27" s="9" t="str">
        <x:v>未注明（页面列糖度选项，但没有热量与配置映射）</x:v>
      </x:c>
      <x:c r="F27" s="11" t="n">
        <x:v>480</x:v>
      </x:c>
      <x:c r="G27" s="9" t="str">
        <x:v>459–500</x:v>
      </x:c>
      <x:c r="H27" s="9" t="str">
        <x:v>第三方参考</x:v>
      </x:c>
      <x:c r="I27" s="9" t="str">
        <x:v>米麻薯、芝士、黄豆粉</x:v>
      </x:c>
      <x:c r="J27" s="12" t="str">
        <x:v>待核实</x:v>
      </x:c>
      <x:c r="K27" s="12" t="str"/>
      <x:c r="L27" s="9" t="str">
        <x:v>https://www.nckfhsm.com/products/dou-ru-mi-ma-shu-25383</x:v>
      </x:c>
      <x:c r="M27" s="9" t="str">
        <x:v>页面读取热量 459~500 kcal；有范围则取区间中点作暂用参考，非官方核实值。</x:v>
      </x:c>
      <x:c r="N27" s="9" t="str">
        <x:v>待核对中国大陆门店是否常售，以及本杯容量、糖度、冰量和自带料；不能按整杯热量直接乘糖度比例。</x:v>
      </x:c>
      <x:c r="O27" s="9" t="str">
        <x:v>2026-10-04</x:v>
      </x:c>
    </x:row>
    <x:row r="28" ht="46" customHeight="1">
      <x:c r="A28" s="7" t="str">
        <x:v>D027</x:v>
      </x:c>
      <x:c r="B28" s="7" t="str">
        <x:v>茶百道</x:v>
      </x:c>
      <x:c r="C28" s="7" t="str">
        <x:v>豆乳玉麒麟</x:v>
      </x:c>
      <x:c r="D28" s="7" t="str">
        <x:v>475~650 ml（页面杯型范围，未映射到热量配置）</x:v>
      </x:c>
      <x:c r="E28" s="7" t="str">
        <x:v>未注明（估算按常规有糖配方，糖量为假设）</x:v>
      </x:c>
      <x:c r="F28" s="10" t="n">
        <x:v>380</x:v>
      </x:c>
      <x:c r="G28" s="7" t="str">
        <x:v>260–520</x:v>
      </x:c>
      <x:c r="H28" s="7" t="str">
        <x:v>配料估算</x:v>
      </x:c>
      <x:c r="I28" s="7" t="str">
        <x:v>芝士、黄豆粉</x:v>
      </x:c>
      <x:c r="J28" s="12" t="str">
        <x:v>待核实</x:v>
      </x:c>
      <x:c r="K28" s="12" t="str"/>
      <x:c r="L28" s="7" t="str">
        <x:v>https://www.nckfhsm.com/products/dou-ru-yu-qi-lin</x:v>
      </x:c>
      <x:c r="M28" s="7" t="str">
        <x:v>来源仅支持名称/配料，不支持本条整杯数值。假设牛乳/奶茶基底220 kcal+芝士奶盖120 kcal+黄豆粉40 kcal；份量未公开。</x:v>
      </x:c>
      <x:c r="N28" s="7" t="str">
        <x:v>待核对中国大陆门店是否常售，以及本杯容量、糖度、冰量和自带料；不能按整杯热量直接乘糖度比例。</x:v>
      </x:c>
      <x:c r="O28" s="7" t="str">
        <x:v>2026-10-04</x:v>
      </x:c>
    </x:row>
    <x:row r="29" ht="46" customHeight="1">
      <x:c r="A29" s="9" t="str">
        <x:v>D028</x:v>
      </x:c>
      <x:c r="B29" s="9" t="str">
        <x:v>茶百道</x:v>
      </x:c>
      <x:c r="C29" s="9" t="str">
        <x:v>乌漆嘛黑</x:v>
      </x:c>
      <x:c r="D29" s="9" t="str">
        <x:v>520 ml（页面杯型范围，未映射到热量配置）</x:v>
      </x:c>
      <x:c r="E29" s="9" t="str">
        <x:v>未注明（估算按常规有糖配方，糖量为假设）</x:v>
      </x:c>
      <x:c r="F29" s="11" t="n">
        <x:v>220</x:v>
      </x:c>
      <x:c r="G29" s="9" t="str">
        <x:v>140–340</x:v>
      </x:c>
      <x:c r="H29" s="9" t="str">
        <x:v>配料估算</x:v>
      </x:c>
      <x:c r="I29" s="9" t="str"/>
      <x:c r="J29" s="12" t="str">
        <x:v>待核实</x:v>
      </x:c>
      <x:c r="K29" s="12" t="str"/>
      <x:c r="L29" s="9" t="str">
        <x:v>https://www.nckfhsm.com/products/wu-qi-ma-hei</x:v>
      </x:c>
      <x:c r="M29" s="9" t="str">
        <x:v>来源仅支持名称/配料，不支持本条整杯数值。假设多种果肉果浆约100 kcal+可消化糖30g×4=120 kcal；不含额外芝士奶盖。</x:v>
      </x:c>
      <x:c r="N29" s="9" t="str">
        <x:v>待核对中国大陆门店是否常售，以及本杯容量、糖度、冰量和自带料；不能按整杯热量直接乘糖度比例。</x:v>
      </x:c>
      <x:c r="O29" s="9" t="str">
        <x:v>2026-10-04</x:v>
      </x:c>
    </x:row>
    <x:row r="30" ht="46" customHeight="1">
      <x:c r="A30" s="7" t="str">
        <x:v>D029</x:v>
      </x:c>
      <x:c r="B30" s="7" t="str">
        <x:v>茶百道</x:v>
      </x:c>
      <x:c r="C30" s="7" t="str">
        <x:v>黑糖珍珠奶茶Pro</x:v>
      </x:c>
      <x:c r="D30" s="7" t="str">
        <x:v>475~600 ml（页面杯型范围，未映射到热量配置）</x:v>
      </x:c>
      <x:c r="E30" s="7" t="str">
        <x:v>未注明（估算按常规有糖配方，糖量为假设）</x:v>
      </x:c>
      <x:c r="F30" s="10" t="n">
        <x:v>400</x:v>
      </x:c>
      <x:c r="G30" s="7" t="str">
        <x:v>280–550</x:v>
      </x:c>
      <x:c r="H30" s="7" t="str">
        <x:v>配料估算</x:v>
      </x:c>
      <x:c r="I30" s="7" t="str">
        <x:v>黑糖珍珠</x:v>
      </x:c>
      <x:c r="J30" s="12" t="str">
        <x:v>待核实</x:v>
      </x:c>
      <x:c r="K30" s="12" t="str"/>
      <x:c r="L30" s="7" t="str">
        <x:v>https://www.nckfhsm.com/products/hei-tang-zhen-zhu-nai-cha-pro</x:v>
      </x:c>
      <x:c r="M30" s="7" t="str">
        <x:v>来源仅支持名称/配料，不支持本条整杯数值。假设奶茶基底250 kcal+含糖珍珠150 kcal；奶基及糖浆份量未知。</x:v>
      </x:c>
      <x:c r="N30" s="7" t="str">
        <x:v>待核对中国大陆门店是否常售，以及本杯容量、糖度、冰量和自带料；不能按整杯热量直接乘糖度比例。</x:v>
      </x:c>
      <x:c r="O30" s="7" t="str">
        <x:v>2026-10-04</x:v>
      </x:c>
    </x:row>
    <x:row r="31" ht="63" customHeight="1">
      <x:c r="A31" s="9" t="str">
        <x:v>D030</x:v>
      </x:c>
      <x:c r="B31" s="9" t="str">
        <x:v>古茗</x:v>
      </x:c>
      <x:c r="C31" s="9" t="str">
        <x:v>古茗奶茶</x:v>
      </x:c>
      <x:c r="D31" s="9" t="str">
        <x:v>500~645 ml（页面杯型范围，未映射到热量配置）</x:v>
      </x:c>
      <x:c r="E31" s="9" t="str">
        <x:v>未注明（页面列糖度选项，但没有热量与配置映射）</x:v>
      </x:c>
      <x:c r="F31" s="11" t="n">
        <x:v>355</x:v>
      </x:c>
      <x:c r="G31" s="9" t="str">
        <x:v>未注明</x:v>
      </x:c>
      <x:c r="H31" s="9" t="str">
        <x:v>第三方参考</x:v>
      </x:c>
      <x:c r="I31" s="9" t="str"/>
      <x:c r="J31" s="12" t="str">
        <x:v>待核实</x:v>
      </x:c>
      <x:c r="K31" s="12" t="str"/>
      <x:c r="L31" s="9" t="str">
        <x:v>https://www.nckfhsm.com/products/gu-ming-nai-cha</x:v>
      </x:c>
      <x:c r="M31" s="9" t="str">
        <x:v>页面读取热量 355 kcal；有范围则取区间中点作暂用参考，非官方核实值。</x:v>
      </x:c>
      <x:c r="N31" s="9" t="str">
        <x:v>待核对中国大陆门店是否常售，以及本杯容量、糖度、冰量和自带料；不能按整杯热量直接乘糖度比例。免费珍珠/椰果是可选项，355 kcal是否含免费料未注明，不要自动叠加。 来源未提供范围，未自行补造。</x:v>
      </x:c>
      <x:c r="O31" s="9" t="str">
        <x:v>2026-10-04</x:v>
      </x:c>
    </x:row>
    <x:row r="32" ht="46" customHeight="1">
      <x:c r="A32" s="7" t="str">
        <x:v>D031</x:v>
      </x:c>
      <x:c r="B32" s="7" t="str">
        <x:v>古茗</x:v>
      </x:c>
      <x:c r="C32" s="7" t="str">
        <x:v>云岭茉莉</x:v>
      </x:c>
      <x:c r="D32" s="7" t="str">
        <x:v>500~645 ml（页面杯型范围，未映射到热量配置）</x:v>
      </x:c>
      <x:c r="E32" s="7" t="str">
        <x:v>未注明（页面列糖度选项，但没有热量与配置映射）</x:v>
      </x:c>
      <x:c r="F32" s="10" t="n">
        <x:v>145</x:v>
      </x:c>
      <x:c r="G32" s="7" t="str">
        <x:v>未注明</x:v>
      </x:c>
      <x:c r="H32" s="7" t="str">
        <x:v>第三方参考</x:v>
      </x:c>
      <x:c r="I32" s="7" t="str"/>
      <x:c r="J32" s="12" t="str">
        <x:v>待核实</x:v>
      </x:c>
      <x:c r="K32" s="12" t="str"/>
      <x:c r="L32" s="7" t="str">
        <x:v>https://www.nckfhsm.com/products/yun-ling-mo-li</x:v>
      </x:c>
      <x:c r="M32" s="7" t="str">
        <x:v>页面读取热量 145 kcal；有范围则取区间中点作暂用参考，非官方核实值。</x:v>
      </x:c>
      <x:c r="N32" s="7" t="str">
        <x:v>待核对中国大陆门店是否常售，以及本杯容量、糖度、冰量和自带料；不能按整杯热量直接乘糖度比例。 来源未提供范围，未自行补造。</x:v>
      </x:c>
      <x:c r="O32" s="7" t="str">
        <x:v>2026-10-04</x:v>
      </x:c>
    </x:row>
    <x:row r="33" ht="46" customHeight="1">
      <x:c r="A33" s="9" t="str">
        <x:v>D032</x:v>
      </x:c>
      <x:c r="B33" s="9" t="str">
        <x:v>古茗</x:v>
      </x:c>
      <x:c r="C33" s="9" t="str">
        <x:v>大叔奶茶</x:v>
      </x:c>
      <x:c r="D33" s="9" t="str">
        <x:v>500~645 ml（页面杯型范围，未映射到热量配置）</x:v>
      </x:c>
      <x:c r="E33" s="9" t="str">
        <x:v>未注明（估算按常规有糖配方，糖量为假设）</x:v>
      </x:c>
      <x:c r="F33" s="11" t="n">
        <x:v>480</x:v>
      </x:c>
      <x:c r="G33" s="9" t="str">
        <x:v>350–650</x:v>
      </x:c>
      <x:c r="H33" s="9" t="str">
        <x:v>配料估算</x:v>
      </x:c>
      <x:c r="I33" s="9" t="str">
        <x:v>蜜豆、布丁、珍珠</x:v>
      </x:c>
      <x:c r="J33" s="12" t="str">
        <x:v>待核实</x:v>
      </x:c>
      <x:c r="K33" s="12" t="str"/>
      <x:c r="L33" s="9" t="str">
        <x:v>https://www.nckfhsm.com/products/da-shu-nai-cha</x:v>
      </x:c>
      <x:c r="M33" s="9" t="str">
        <x:v>来源仅支持名称/配料，不支持本条整杯数值。假设奶茶基底250 kcal+蜜豆70 kcal+布丁60 kcal+珍珠100 kcal。</x:v>
      </x:c>
      <x:c r="N33" s="9" t="str">
        <x:v>待核对中国大陆门店是否常售，以及本杯容量、糖度、冰量和自带料；不能按整杯热量直接乘糖度比例。</x:v>
      </x:c>
      <x:c r="O33" s="9" t="str">
        <x:v>2026-10-04</x:v>
      </x:c>
    </x:row>
    <x:row r="34" ht="63" customHeight="1">
      <x:c r="A34" s="7" t="str">
        <x:v>D033</x:v>
      </x:c>
      <x:c r="B34" s="7" t="str">
        <x:v>古茗</x:v>
      </x:c>
      <x:c r="C34" s="7" t="str">
        <x:v>杨枝甘露轻盈版</x:v>
      </x:c>
      <x:c r="D34" s="7" t="str">
        <x:v>500~645 ml（页面杯型范围，未映射到热量配置）</x:v>
      </x:c>
      <x:c r="E34" s="7" t="str">
        <x:v>未注明（估算按常规有糖配方，糖量为假设）</x:v>
      </x:c>
      <x:c r="F34" s="10" t="n">
        <x:v>320</x:v>
      </x:c>
      <x:c r="G34" s="7" t="str">
        <x:v>220–450</x:v>
      </x:c>
      <x:c r="H34" s="7" t="str">
        <x:v>配料估算</x:v>
      </x:c>
      <x:c r="I34" s="7" t="str">
        <x:v>西米、多肉、西柚粒、芒果</x:v>
      </x:c>
      <x:c r="J34" s="12" t="str">
        <x:v>待核实</x:v>
      </x:c>
      <x:c r="K34" s="12" t="str"/>
      <x:c r="L34" s="7" t="str">
        <x:v>https://www.nckfhsm.com/products/yang-zhi-gan-lu-qing-ying-ban-25199</x:v>
      </x:c>
      <x:c r="M34" s="7" t="str">
        <x:v>来源仅支持名称/配料，不支持本条整杯数值。假设芒果/西柚80 kcal+椰浆100 kcal+西米/多肉80 kcal+糖15g×4=60 kcal。</x:v>
      </x:c>
      <x:c r="N34" s="7" t="str">
        <x:v>待核对中国大陆门店是否常售，以及本杯容量、糖度、冰量和自带料；不能按整杯热量直接乘糖度比例。</x:v>
      </x:c>
      <x:c r="O34" s="7" t="str">
        <x:v>2026-10-04</x:v>
      </x:c>
    </x:row>
    <x:row r="35" ht="46" customHeight="1">
      <x:c r="A35" s="9" t="str">
        <x:v>D034</x:v>
      </x:c>
      <x:c r="B35" s="9" t="str">
        <x:v>古茗</x:v>
      </x:c>
      <x:c r="C35" s="9" t="str">
        <x:v>超A芝士葡萄</x:v>
      </x:c>
      <x:c r="D35" s="9" t="str">
        <x:v>630 ml（页面杯型范围，未映射到热量配置）</x:v>
      </x:c>
      <x:c r="E35" s="9" t="str">
        <x:v>未注明（估算按常规有糖配方，糖量为假设）</x:v>
      </x:c>
      <x:c r="F35" s="11" t="n">
        <x:v>380</x:v>
      </x:c>
      <x:c r="G35" s="9" t="str">
        <x:v>280–520</x:v>
      </x:c>
      <x:c r="H35" s="9" t="str">
        <x:v>配料估算</x:v>
      </x:c>
      <x:c r="I35" s="9" t="str">
        <x:v>芝士奶盖、多肉、葡萄果肉</x:v>
      </x:c>
      <x:c r="J35" s="12" t="str">
        <x:v>待核实</x:v>
      </x:c>
      <x:c r="K35" s="12" t="str"/>
      <x:c r="L35" s="9" t="str">
        <x:v>https://www.nckfhsm.com/products/chao-a-zhi-shi-pu-tao-gu-ming</x:v>
      </x:c>
      <x:c r="M35" s="9" t="str">
        <x:v>来源仅支持名称/配料，不支持本条整杯数值。假设葡萄果肉果汁140 kcal+奶盖120 kcal+多肉40 kcal+糖20g×4=80 kcal。</x:v>
      </x:c>
      <x:c r="N35" s="9" t="str">
        <x:v>待核对中国大陆门店是否常售，以及本杯容量、糖度、冰量和自带料；不能按整杯热量直接乘糖度比例。</x:v>
      </x:c>
      <x:c r="O35" s="9" t="str">
        <x:v>2026-10-04</x:v>
      </x:c>
    </x:row>
    <x:row r="36" ht="46" customHeight="1">
      <x:c r="A36" s="7" t="str">
        <x:v>D035</x:v>
      </x:c>
      <x:c r="B36" s="7" t="str">
        <x:v>古茗</x:v>
      </x:c>
      <x:c r="C36" s="7" t="str">
        <x:v>布蕾脆脆奶芙</x:v>
      </x:c>
      <x:c r="D36" s="7" t="str">
        <x:v>510 ml（页面杯型范围，未映射到热量配置）</x:v>
      </x:c>
      <x:c r="E36" s="7" t="str">
        <x:v>未注明（页面列糖度选项，但没有热量与配置映射）</x:v>
      </x:c>
      <x:c r="F36" s="10" t="n">
        <x:v>560</x:v>
      </x:c>
      <x:c r="G36" s="7" t="str">
        <x:v>未注明</x:v>
      </x:c>
      <x:c r="H36" s="7" t="str">
        <x:v>第三方参考</x:v>
      </x:c>
      <x:c r="I36" s="7" t="str">
        <x:v>布蕾、珍珠、香草籽奶芙、坚果碎</x:v>
      </x:c>
      <x:c r="J36" s="12" t="str">
        <x:v>待核实</x:v>
      </x:c>
      <x:c r="K36" s="12" t="str"/>
      <x:c r="L36" s="7" t="str">
        <x:v>https://www.nckfhsm.com/products/bu-lei-cui-cui-nai-fu</x:v>
      </x:c>
      <x:c r="M36" s="7" t="str">
        <x:v>页面读取热量 560 kcal；有范围则取区间中点作暂用参考，非官方核实值。</x:v>
      </x:c>
      <x:c r="N36" s="7" t="str">
        <x:v>待核对中国大陆门店是否常售，以及本杯容量、糖度、冰量和自带料；不能按整杯热量直接乘糖度比例。 来源未提供范围，未自行补造。</x:v>
      </x:c>
      <x:c r="O36" s="7" t="str">
        <x:v>2026-10-04</x:v>
      </x:c>
    </x:row>
    <x:row r="37" ht="46" customHeight="1">
      <x:c r="A37" s="9" t="str">
        <x:v>D036</x:v>
      </x:c>
      <x:c r="B37" s="9" t="str">
        <x:v>古茗</x:v>
      </x:c>
      <x:c r="C37" s="9" t="str">
        <x:v>抹茶四季春</x:v>
      </x:c>
      <x:c r="D37" s="9" t="str">
        <x:v>500 ml（页面杯型范围，未映射到热量配置）</x:v>
      </x:c>
      <x:c r="E37" s="9" t="str">
        <x:v>未注明（页面列糖度选项，但没有热量与配置映射）</x:v>
      </x:c>
      <x:c r="F37" s="11" t="n">
        <x:v>329</x:v>
      </x:c>
      <x:c r="G37" s="9" t="str">
        <x:v>未注明</x:v>
      </x:c>
      <x:c r="H37" s="9" t="str">
        <x:v>第三方参考</x:v>
      </x:c>
      <x:c r="I37" s="9" t="str">
        <x:v>抹茶奶盖、黑糖珍珠</x:v>
      </x:c>
      <x:c r="J37" s="12" t="str">
        <x:v>待核实</x:v>
      </x:c>
      <x:c r="K37" s="12" t="str"/>
      <x:c r="L37" s="9" t="str">
        <x:v>https://www.nckfhsm.com/products/mo-cha-si-ji-chun</x:v>
      </x:c>
      <x:c r="M37" s="9" t="str">
        <x:v>页面读取热量 329 kcal；有范围则取区间中点作暂用参考，非官方核实值。</x:v>
      </x:c>
      <x:c r="N37" s="9" t="str">
        <x:v>待核对中国大陆门店是否常售，以及本杯容量、糖度、冰量和自带料；不能按整杯热量直接乘糖度比例。 来源未提供范围，未自行补造。</x:v>
      </x:c>
      <x:c r="O37" s="9" t="str">
        <x:v>2026-10-04</x:v>
      </x:c>
    </x:row>
    <x:row r="38" ht="46" customHeight="1">
      <x:c r="A38" s="7" t="str">
        <x:v>D037</x:v>
      </x:c>
      <x:c r="B38" s="7" t="str">
        <x:v>古茗</x:v>
      </x:c>
      <x:c r="C38" s="7" t="str">
        <x:v>四季青山</x:v>
      </x:c>
      <x:c r="D38" s="7" t="str">
        <x:v>500~645 ml（页面杯型范围，未映射到热量配置）</x:v>
      </x:c>
      <x:c r="E38" s="7" t="str">
        <x:v>未注明（估算按常规有糖配方，糖量为假设）</x:v>
      </x:c>
      <x:c r="F38" s="10" t="n">
        <x:v>200</x:v>
      </x:c>
      <x:c r="G38" s="7" t="str">
        <x:v>130–310</x:v>
      </x:c>
      <x:c r="H38" s="7" t="str">
        <x:v>配料估算</x:v>
      </x:c>
      <x:c r="I38" s="7" t="str"/>
      <x:c r="J38" s="12" t="str">
        <x:v>待核实</x:v>
      </x:c>
      <x:c r="K38" s="12" t="str"/>
      <x:c r="L38" s="7" t="str">
        <x:v>https://www.nckfhsm.com/products/si-ji-qing-shan</x:v>
      </x:c>
      <x:c r="M38" s="7" t="str">
        <x:v>来源仅支持名称/配料，不支持本条整杯数值。假设鲜奶200ml×60kcal/100ml=120 kcal+糖20g×4=80 kcal；不含额外奶芙。</x:v>
      </x:c>
      <x:c r="N38" s="7" t="str">
        <x:v>待核对中国大陆门店是否常售，以及本杯容量、糖度、冰量和自带料；不能按整杯热量直接乘糖度比例。</x:v>
      </x:c>
      <x:c r="O38" s="7" t="str">
        <x:v>2026-10-04</x:v>
      </x:c>
    </x:row>
    <x:row r="39" ht="46" customHeight="1">
      <x:c r="A39" s="9" t="str">
        <x:v>D038</x:v>
      </x:c>
      <x:c r="B39" s="9" t="str">
        <x:v>一点点</x:v>
      </x:c>
      <x:c r="C39" s="9" t="str">
        <x:v>波霸奶茶</x:v>
      </x:c>
      <x:c r="D39" s="9" t="str">
        <x:v>480~640 ml（页面杯型范围，未映射到热量配置）</x:v>
      </x:c>
      <x:c r="E39" s="9" t="str">
        <x:v>未注明（估算按常规有糖配方，糖量为假设）</x:v>
      </x:c>
      <x:c r="F39" s="11" t="n">
        <x:v>420</x:v>
      </x:c>
      <x:c r="G39" s="9" t="str">
        <x:v>300–580</x:v>
      </x:c>
      <x:c r="H39" s="9" t="str">
        <x:v>配料估算</x:v>
      </x:c>
      <x:c r="I39" s="9" t="str">
        <x:v>波霸</x:v>
      </x:c>
      <x:c r="J39" s="12" t="str">
        <x:v>待核实</x:v>
      </x:c>
      <x:c r="K39" s="12" t="str"/>
      <x:c r="L39" s="9" t="str">
        <x:v>https://www.nckfhsm.com/products/bo-ba-nai-cha</x:v>
      </x:c>
      <x:c r="M39" s="9" t="str">
        <x:v>来源仅支持名称/配料，不支持本条整杯数值。假设奶精茶基底280 kcal+熟波霸约140 kcal；不包含点单后额外小料。</x:v>
      </x:c>
      <x:c r="N39" s="9" t="str">
        <x:v>待核对中国大陆门店是否常售，以及本杯容量、糖度、冰量和自带料；不能按整杯热量直接乘糖度比例。</x:v>
      </x:c>
      <x:c r="O39" s="9" t="str">
        <x:v>2026-10-04</x:v>
      </x:c>
    </x:row>
    <x:row r="40" ht="46" customHeight="1">
      <x:c r="A40" s="7" t="str">
        <x:v>D039</x:v>
      </x:c>
      <x:c r="B40" s="7" t="str">
        <x:v>一点点</x:v>
      </x:c>
      <x:c r="C40" s="7" t="str">
        <x:v>四季奶青</x:v>
      </x:c>
      <x:c r="D40" s="7" t="str">
        <x:v>480~640 ml（页面杯型范围，未映射到热量配置）</x:v>
      </x:c>
      <x:c r="E40" s="7" t="str">
        <x:v>未注明（估算按常规有糖配方，糖量为假设）</x:v>
      </x:c>
      <x:c r="F40" s="10" t="n">
        <x:v>280</x:v>
      </x:c>
      <x:c r="G40" s="7" t="str">
        <x:v>180–400</x:v>
      </x:c>
      <x:c r="H40" s="7" t="str">
        <x:v>配料估算</x:v>
      </x:c>
      <x:c r="I40" s="7" t="str"/>
      <x:c r="J40" s="12" t="str">
        <x:v>待核实</x:v>
      </x:c>
      <x:c r="K40" s="12" t="str"/>
      <x:c r="L40" s="7" t="str">
        <x:v>https://www.nckfhsm.com/products/si-ji-nai-qing</x:v>
      </x:c>
      <x:c r="M40" s="7" t="str">
        <x:v>来源仅支持名称/配料，不支持本条整杯数值。假设奶精35g×500kcal/100g=175 kcal+可消化糖约26g×4=104 kcal。</x:v>
      </x:c>
      <x:c r="N40" s="7" t="str">
        <x:v>待核对中国大陆门店是否常售，以及本杯容量、糖度、冰量和自带料；不能按整杯热量直接乘糖度比例。</x:v>
      </x:c>
      <x:c r="O40" s="7" t="str">
        <x:v>2026-10-04</x:v>
      </x:c>
    </x:row>
    <x:row r="41" ht="63" customHeight="1">
      <x:c r="A41" s="9" t="str">
        <x:v>D040</x:v>
      </x:c>
      <x:c r="B41" s="9" t="str">
        <x:v>一点点</x:v>
      </x:c>
      <x:c r="C41" s="9" t="str">
        <x:v>冰淇淋红茶</x:v>
      </x:c>
      <x:c r="D41" s="9" t="str">
        <x:v>480~640 ml（页面杯型范围，未映射到热量配置）</x:v>
      </x:c>
      <x:c r="E41" s="9" t="str">
        <x:v>未注明（估算按常规有糖配方，糖量为假设）</x:v>
      </x:c>
      <x:c r="F41" s="11" t="n">
        <x:v>270</x:v>
      </x:c>
      <x:c r="G41" s="9" t="str">
        <x:v>180–400</x:v>
      </x:c>
      <x:c r="H41" s="9" t="str">
        <x:v>配料估算</x:v>
      </x:c>
      <x:c r="I41" s="9" t="str">
        <x:v>冰淇淋</x:v>
      </x:c>
      <x:c r="J41" s="12" t="str">
        <x:v>待核实</x:v>
      </x:c>
      <x:c r="K41" s="12" t="str"/>
      <x:c r="L41" s="9" t="str">
        <x:v>https://www.nckfhsm.com/products/bing-qi-lin-hong-cha-yi-dian-dian</x:v>
      </x:c>
      <x:c r="M41" s="9" t="str">
        <x:v>来源仅支持名称/配料，不支持本条整杯数值。假设冰淇淋约190 kcal+糖20g×4=80 kcal；红茶热量近零。</x:v>
      </x:c>
      <x:c r="N41" s="9" t="str">
        <x:v>待核对中国大陆门店是否常售，以及本杯容量、糖度、冰量和自带料；不能按整杯热量直接乘糖度比例。</x:v>
      </x:c>
      <x:c r="O41" s="9" t="str">
        <x:v>2026-10-04</x:v>
      </x:c>
    </x:row>
    <x:row r="42" ht="46" customHeight="1">
      <x:c r="A42" s="7" t="str">
        <x:v>D041</x:v>
      </x:c>
      <x:c r="B42" s="7" t="str">
        <x:v>一点点</x:v>
      </x:c>
      <x:c r="C42" s="7" t="str">
        <x:v>A2牛乳红茶</x:v>
      </x:c>
      <x:c r="D42" s="7" t="str">
        <x:v>480~640 ml（页面杯型范围，未映射到热量配置）</x:v>
      </x:c>
      <x:c r="E42" s="7" t="str">
        <x:v>未注明（页面列糖度选项，但没有热量与配置映射）</x:v>
      </x:c>
      <x:c r="F42" s="10" t="n">
        <x:v>220</x:v>
      </x:c>
      <x:c r="G42" s="7" t="str">
        <x:v>未注明</x:v>
      </x:c>
      <x:c r="H42" s="7" t="str">
        <x:v>第三方参考</x:v>
      </x:c>
      <x:c r="I42" s="7" t="str"/>
      <x:c r="J42" s="12" t="str">
        <x:v>待核实</x:v>
      </x:c>
      <x:c r="K42" s="12" t="str"/>
      <x:c r="L42" s="7" t="str">
        <x:v>https://www.nckfhsm.com/products/a2-niu-ru-hong-cha</x:v>
      </x:c>
      <x:c r="M42" s="7" t="str">
        <x:v>页面读取热量 220 kcal；有范围则取区间中点作暂用参考，非官方核实值。</x:v>
      </x:c>
      <x:c r="N42" s="7" t="str">
        <x:v>待核对中国大陆门店是否常售，以及本杯容量、糖度、冰量和自带料；不能按整杯热量直接乘糖度比例。 来源未提供范围，未自行补造。</x:v>
      </x:c>
      <x:c r="O42" s="7" t="str">
        <x:v>2026-10-04</x:v>
      </x:c>
    </x:row>
    <x:row r="43" ht="46" customHeight="1">
      <x:c r="A43" s="9" t="str">
        <x:v>D042</x:v>
      </x:c>
      <x:c r="B43" s="9" t="str">
        <x:v>一点点</x:v>
      </x:c>
      <x:c r="C43" s="9" t="str">
        <x:v>养乐多绿</x:v>
      </x:c>
      <x:c r="D43" s="9" t="str">
        <x:v>480~640 ml（页面杯型范围，未映射到热量配置）</x:v>
      </x:c>
      <x:c r="E43" s="9" t="str">
        <x:v>未注明（估算按常规有糖配方，糖量为假设）</x:v>
      </x:c>
      <x:c r="F43" s="11" t="n">
        <x:v>220</x:v>
      </x:c>
      <x:c r="G43" s="9" t="str">
        <x:v>130–330</x:v>
      </x:c>
      <x:c r="H43" s="9" t="str">
        <x:v>配料估算</x:v>
      </x:c>
      <x:c r="I43" s="9" t="str"/>
      <x:c r="J43" s="12" t="str">
        <x:v>待核实</x:v>
      </x:c>
      <x:c r="K43" s="12" t="str"/>
      <x:c r="L43" s="9" t="str">
        <x:v>https://www.nckfhsm.com/products/yang-le-duo-lv</x:v>
      </x:c>
      <x:c r="M43" s="9" t="str">
        <x:v>来源仅支持名称/配料，不支持本条整杯数值。假设养乐多等乳酸菌饮料约100 kcal+糖30g×4=120 kcal。</x:v>
      </x:c>
      <x:c r="N43" s="9" t="str">
        <x:v>待核对中国大陆门店是否常售，以及本杯容量、糖度、冰量和自带料；不能按整杯热量直接乘糖度比例。</x:v>
      </x:c>
      <x:c r="O43" s="9" t="str">
        <x:v>2026-10-04</x:v>
      </x:c>
    </x:row>
    <x:row r="44" ht="46" customHeight="1">
      <x:c r="A44" s="7" t="str">
        <x:v>D043</x:v>
      </x:c>
      <x:c r="B44" s="7" t="str">
        <x:v>一点点</x:v>
      </x:c>
      <x:c r="C44" s="7" t="str">
        <x:v>阿华田</x:v>
      </x:c>
      <x:c r="D44" s="7" t="str">
        <x:v>480~640 ml（页面杯型范围，未映射到热量配置）</x:v>
      </x:c>
      <x:c r="E44" s="7" t="str">
        <x:v>未注明（估算按常规有糖配方，糖量为假设）</x:v>
      </x:c>
      <x:c r="F44" s="10" t="n">
        <x:v>380</x:v>
      </x:c>
      <x:c r="G44" s="7" t="str">
        <x:v>260–520</x:v>
      </x:c>
      <x:c r="H44" s="7" t="str">
        <x:v>配料估算</x:v>
      </x:c>
      <x:c r="I44" s="7" t="str">
        <x:v>冰淇淋（当前菜单列出，待核对）</x:v>
      </x:c>
      <x:c r="J44" s="12" t="str">
        <x:v>待核实</x:v>
      </x:c>
      <x:c r="K44" s="12" t="str"/>
      <x:c r="L44" s="7" t="str">
        <x:v>https://www.nckfhsm.com/products/a-hua-tian</x:v>
      </x:c>
      <x:c r="M44" s="7" t="str">
        <x:v>来源仅支持名称/配料，不支持本条整杯数值。假设奶基120 kcal+阿华田粉/糖150 kcal+配方冰淇淋110 kcal；菜单含冰淇淋，需核对当前配方。</x:v>
      </x:c>
      <x:c r="N44" s="7" t="str">
        <x:v>待核对中国大陆门店是否常售，以及本杯容量、糖度、冰量和自带料；不能按整杯热量直接乘糖度比例。</x:v>
      </x:c>
      <x:c r="O44" s="7" t="str">
        <x:v>2026-10-04</x:v>
      </x:c>
    </x:row>
    <x:row r="45" ht="46" customHeight="1">
      <x:c r="A45" s="9" t="str">
        <x:v>D044</x:v>
      </x:c>
      <x:c r="B45" s="9" t="str">
        <x:v>一点点</x:v>
      </x:c>
      <x:c r="C45" s="9" t="str">
        <x:v>QQ美莓奶茶</x:v>
      </x:c>
      <x:c r="D45" s="9" t="str">
        <x:v>480~640 ml（页面杯型范围，未映射到热量配置）</x:v>
      </x:c>
      <x:c r="E45" s="9" t="str">
        <x:v>未注明（页面列糖度选项，但没有热量与配置映射）</x:v>
      </x:c>
      <x:c r="F45" s="11" t="n">
        <x:v>360</x:v>
      </x:c>
      <x:c r="G45" s="9" t="str">
        <x:v>未注明</x:v>
      </x:c>
      <x:c r="H45" s="9" t="str">
        <x:v>第三方参考</x:v>
      </x:c>
      <x:c r="I45" s="9" t="str">
        <x:v>波霸、草莓果料</x:v>
      </x:c>
      <x:c r="J45" s="12" t="str">
        <x:v>待核实</x:v>
      </x:c>
      <x:c r="K45" s="12" t="str"/>
      <x:c r="L45" s="9" t="str">
        <x:v>https://www.nckfhsm.com/products/qq-mei-mei-nai-cha</x:v>
      </x:c>
      <x:c r="M45" s="9" t="str">
        <x:v>页面读取热量 360 kcal；有范围则取区间中点作暂用参考，非官方核实值。</x:v>
      </x:c>
      <x:c r="N45" s="9" t="str">
        <x:v>待核对中国大陆门店是否常售，以及本杯容量、糖度、冰量和自带料；不能按整杯热量直接乘糖度比例。 来源未提供范围，未自行补造。</x:v>
      </x:c>
      <x:c r="O45" s="9" t="str">
        <x:v>2026-10-04</x:v>
      </x:c>
    </x:row>
    <x:row r="46" ht="46" customHeight="1">
      <x:c r="A46" s="7" t="str">
        <x:v>D045</x:v>
      </x:c>
      <x:c r="B46" s="7" t="str">
        <x:v>一点点</x:v>
      </x:c>
      <x:c r="C46" s="7" t="str">
        <x:v>藏青盐咸奶绿</x:v>
      </x:c>
      <x:c r="D46" s="7" t="str">
        <x:v>480~640 ml（页面杯型范围，未映射到热量配置）</x:v>
      </x:c>
      <x:c r="E46" s="7" t="str">
        <x:v>未注明（页面列糖度选项，但没有热量与配置映射）</x:v>
      </x:c>
      <x:c r="F46" s="10" t="n">
        <x:v>230</x:v>
      </x:c>
      <x:c r="G46" s="7" t="str">
        <x:v>未注明</x:v>
      </x:c>
      <x:c r="H46" s="7" t="str">
        <x:v>第三方参考</x:v>
      </x:c>
      <x:c r="I46" s="7" t="str"/>
      <x:c r="J46" s="12" t="str">
        <x:v>待核实</x:v>
      </x:c>
      <x:c r="K46" s="12" t="str"/>
      <x:c r="L46" s="7" t="str">
        <x:v>https://www.nckfhsm.com/products/zang-qing-yan-xian-nai-lv</x:v>
      </x:c>
      <x:c r="M46" s="7" t="str">
        <x:v>页面读取热量 230 kcal；有范围则取区间中点作暂用参考，非官方核实值。</x:v>
      </x:c>
      <x:c r="N46" s="7" t="str">
        <x:v>待核对中国大陆门店是否常售，以及本杯容量、糖度、冰量和自带料；不能按整杯热量直接乘糖度比例。 来源未提供范围，未自行补造。</x:v>
      </x:c>
      <x:c r="O46" s="7" t="str">
        <x:v>2026-10-04</x:v>
      </x:c>
    </x:row>
    <x:row r="47" ht="46" customHeight="1">
      <x:c r="A47" s="9" t="str">
        <x:v>D046</x:v>
      </x:c>
      <x:c r="B47" s="9" t="str">
        <x:v>CoCo都可</x:v>
      </x:c>
      <x:c r="C47" s="9" t="str">
        <x:v>珍珠奶茶</x:v>
      </x:c>
      <x:c r="D47" s="9" t="str">
        <x:v>500~630 ml（页面杯型范围，未映射到热量配置）</x:v>
      </x:c>
      <x:c r="E47" s="9" t="str">
        <x:v>未注明（页面列糖度选项，但没有热量与配置映射）</x:v>
      </x:c>
      <x:c r="F47" s="11" t="n">
        <x:v>506</x:v>
      </x:c>
      <x:c r="G47" s="9" t="str">
        <x:v>291–722</x:v>
      </x:c>
      <x:c r="H47" s="9" t="str">
        <x:v>第三方参考</x:v>
      </x:c>
      <x:c r="I47" s="9" t="str">
        <x:v>珍珠</x:v>
      </x:c>
      <x:c r="J47" s="12" t="str">
        <x:v>待核实</x:v>
      </x:c>
      <x:c r="K47" s="12" t="str"/>
      <x:c r="L47" s="9" t="str">
        <x:v>https://www.nckfhsm.com/products/zhen-zhu-nai-cha-33366</x:v>
      </x:c>
      <x:c r="M47" s="9" t="str">
        <x:v>页面读取热量 291~722 kcal；有范围则取区间中点作暂用参考，非官方核实值。</x:v>
      </x:c>
      <x:c r="N47" s="9" t="str">
        <x:v>待核对中国大陆门店是否常售，以及本杯容量、糖度、冰量和自带料；不能按整杯热量直接乘糖度比例。</x:v>
      </x:c>
      <x:c r="O47" s="9" t="str">
        <x:v>2026-10-04</x:v>
      </x:c>
    </x:row>
    <x:row r="48" ht="46" customHeight="1">
      <x:c r="A48" s="7" t="str">
        <x:v>D047</x:v>
      </x:c>
      <x:c r="B48" s="7" t="str">
        <x:v>CoCo都可</x:v>
      </x:c>
      <x:c r="C48" s="7" t="str">
        <x:v>奶茶三兄弟</x:v>
      </x:c>
      <x:c r="D48" s="7" t="str">
        <x:v>500~630 ml（页面杯型范围，未映射到热量配置）</x:v>
      </x:c>
      <x:c r="E48" s="7" t="str">
        <x:v>未注明（页面列糖度选项，但没有热量与配置映射）</x:v>
      </x:c>
      <x:c r="F48" s="10" t="n">
        <x:v>466</x:v>
      </x:c>
      <x:c r="G48" s="7" t="str">
        <x:v>309–622</x:v>
      </x:c>
      <x:c r="H48" s="7" t="str">
        <x:v>第三方参考</x:v>
      </x:c>
      <x:c r="I48" s="7" t="str">
        <x:v>珍珠、布丁、仙草</x:v>
      </x:c>
      <x:c r="J48" s="12" t="str">
        <x:v>待核实</x:v>
      </x:c>
      <x:c r="K48" s="12" t="str"/>
      <x:c r="L48" s="7" t="str">
        <x:v>https://www.nckfhsm.com/products/nai-cha-san-xiong-di-33364</x:v>
      </x:c>
      <x:c r="M48" s="7" t="str">
        <x:v>页面读取热量 309~622 kcal；有范围则取区间中点作暂用参考，非官方核实值。</x:v>
      </x:c>
      <x:c r="N48" s="7" t="str">
        <x:v>待核对中国大陆门店是否常售，以及本杯容量、糖度、冰量和自带料；不能按整杯热量直接乘糖度比例。</x:v>
      </x:c>
      <x:c r="O48" s="7" t="str">
        <x:v>2026-10-04</x:v>
      </x:c>
    </x:row>
    <x:row r="49" ht="63" customHeight="1">
      <x:c r="A49" s="9" t="str">
        <x:v>D048</x:v>
      </x:c>
      <x:c r="B49" s="9" t="str">
        <x:v>CoCo都可</x:v>
      </x:c>
      <x:c r="C49" s="9" t="str">
        <x:v>鲜百香双响炮</x:v>
      </x:c>
      <x:c r="D49" s="9" t="str">
        <x:v>630 ml（页面杯型范围，未映射到热量配置）</x:v>
      </x:c>
      <x:c r="E49" s="9" t="str">
        <x:v>未注明（估算按常规有糖配方，糖量为假设）</x:v>
      </x:c>
      <x:c r="F49" s="11" t="n">
        <x:v>370</x:v>
      </x:c>
      <x:c r="G49" s="9" t="str">
        <x:v>250–510</x:v>
      </x:c>
      <x:c r="H49" s="9" t="str">
        <x:v>配料估算</x:v>
      </x:c>
      <x:c r="I49" s="9" t="str">
        <x:v>珍珠、椰果</x:v>
      </x:c>
      <x:c r="J49" s="12" t="str">
        <x:v>待核实</x:v>
      </x:c>
      <x:c r="K49" s="12" t="str"/>
      <x:c r="L49" s="9" t="str">
        <x:v>https://www.nckfhsm.com/products/xian-bai-xiang-shuang-xiang-pao-33582</x:v>
      </x:c>
      <x:c r="M49" s="9" t="str">
        <x:v>来源仅支持名称/配料，不支持本条整杯数值。假设百香果浆80 kcal+糖30g×4=120 kcal+珍珠120 kcal+椰果50 kcal。</x:v>
      </x:c>
      <x:c r="N49" s="9" t="str">
        <x:v>待核对中国大陆门店是否常售，以及本杯容量、糖度、冰量和自带料；不能按整杯热量直接乘糖度比例。</x:v>
      </x:c>
      <x:c r="O49" s="9" t="str">
        <x:v>2026-10-04</x:v>
      </x:c>
    </x:row>
    <x:row r="50" ht="63" customHeight="1">
      <x:c r="A50" s="7" t="str">
        <x:v>D049</x:v>
      </x:c>
      <x:c r="B50" s="7" t="str">
        <x:v>CoCo都可</x:v>
      </x:c>
      <x:c r="C50" s="7" t="str">
        <x:v>双倍鲜芋雪冰</x:v>
      </x:c>
      <x:c r="D50" s="7" t="str">
        <x:v>500~630 ml（页面杯型范围，未映射到热量配置）</x:v>
      </x:c>
      <x:c r="E50" s="7" t="str">
        <x:v>未注明（页面列糖度选项，但没有热量与配置映射）</x:v>
      </x:c>
      <x:c r="F50" s="10" t="n">
        <x:v>432</x:v>
      </x:c>
      <x:c r="G50" s="7" t="str">
        <x:v>未注明</x:v>
      </x:c>
      <x:c r="H50" s="7" t="str">
        <x:v>第三方参考</x:v>
      </x:c>
      <x:c r="I50" s="7" t="str">
        <x:v>鲜芋（珍珠布丁仅大杯超有料版含）</x:v>
      </x:c>
      <x:c r="J50" s="12" t="str">
        <x:v>待核实</x:v>
      </x:c>
      <x:c r="K50" s="12" t="str"/>
      <x:c r="L50" s="7" t="str">
        <x:v>https://www.nckfhsm.com/products/shuang-bei-xian-yu-xue-bing</x:v>
      </x:c>
      <x:c r="M50" s="7" t="str">
        <x:v>页面读取热量 432 kcal；有范围则取区间中点作暂用参考，非官方核实值。</x:v>
      </x:c>
      <x:c r="N50" s="7" t="str">
        <x:v>待核对中国大陆门店是否常售，以及本杯容量、糖度、冰量和自带料；不能按整杯热量直接乘糖度比例。432 kcal对应版本未注明；仅超有料大杯含珍珠布丁。 来源未提供范围，未自行补造。</x:v>
      </x:c>
      <x:c r="O50" s="7" t="str">
        <x:v>2026-10-04</x:v>
      </x:c>
    </x:row>
    <x:row r="51" ht="46" customHeight="1">
      <x:c r="A51" s="9" t="str">
        <x:v>D050</x:v>
      </x:c>
      <x:c r="B51" s="9" t="str">
        <x:v>CoCo都可</x:v>
      </x:c>
      <x:c r="C51" s="9" t="str">
        <x:v>四季珍珠奶青</x:v>
      </x:c>
      <x:c r="D51" s="9" t="str">
        <x:v>500~630 ml（页面杯型范围，未映射到热量配置）</x:v>
      </x:c>
      <x:c r="E51" s="9" t="str">
        <x:v>未注明（估算按常规有糖配方，糖量为假设）</x:v>
      </x:c>
      <x:c r="F51" s="11" t="n">
        <x:v>400</x:v>
      </x:c>
      <x:c r="G51" s="9" t="str">
        <x:v>280–560</x:v>
      </x:c>
      <x:c r="H51" s="9" t="str">
        <x:v>配料估算</x:v>
      </x:c>
      <x:c r="I51" s="9" t="str">
        <x:v>珍珠</x:v>
      </x:c>
      <x:c r="J51" s="12" t="str">
        <x:v>待核实</x:v>
      </x:c>
      <x:c r="K51" s="12" t="str"/>
      <x:c r="L51" s="9" t="str">
        <x:v>https://www.nckfhsm.com/products/si-ji-zhen-zhu-nai-qing</x:v>
      </x:c>
      <x:c r="M51" s="9" t="str">
        <x:v>来源仅支持名称/配料，不支持本条整杯数值。假设奶茶基底260 kcal+熟珍珠140 kcal；不含额外加料。</x:v>
      </x:c>
      <x:c r="N51" s="9" t="str">
        <x:v>待核对中国大陆门店是否常售，以及本杯容量、糖度、冰量和自带料；不能按整杯热量直接乘糖度比例。</x:v>
      </x:c>
      <x:c r="O51" s="9" t="str">
        <x:v>2026-10-04</x:v>
      </x:c>
    </x:row>
    <x:row r="52" ht="46" customHeight="1">
      <x:c r="A52" s="7" t="str">
        <x:v>D051</x:v>
      </x:c>
      <x:c r="B52" s="7" t="str">
        <x:v>CoCo都可</x:v>
      </x:c>
      <x:c r="C52" s="7" t="str">
        <x:v>四季春茶</x:v>
      </x:c>
      <x:c r="D52" s="7" t="str">
        <x:v>500~630 ml（页面杯型范围，未映射到热量配置）</x:v>
      </x:c>
      <x:c r="E52" s="7" t="str">
        <x:v>未注明（估算按常规有糖配方，糖量为假设）</x:v>
      </x:c>
      <x:c r="F52" s="10" t="n">
        <x:v>100</x:v>
      </x:c>
      <x:c r="G52" s="7" t="str">
        <x:v>0–180</x:v>
      </x:c>
      <x:c r="H52" s="7" t="str">
        <x:v>配料估算</x:v>
      </x:c>
      <x:c r="I52" s="7" t="str"/>
      <x:c r="J52" s="12" t="str">
        <x:v>待核实</x:v>
      </x:c>
      <x:c r="K52" s="12" t="str"/>
      <x:c r="L52" s="7" t="str">
        <x:v>https://www.nckfhsm.com/products/si-ji-chun-cha-coco-dou-ke</x:v>
      </x:c>
      <x:c r="M52" s="7" t="str">
        <x:v>来源仅支持名称/配料，不支持本条整杯数值。假设纯茶接近0 kcal+糖25g×4=100 kcal；选不额外加糖时可接近0。</x:v>
      </x:c>
      <x:c r="N52" s="7" t="str">
        <x:v>待核对中国大陆门店是否常售，以及本杯容量、糖度、冰量和自带料；不能按整杯热量直接乘糖度比例。</x:v>
      </x:c>
      <x:c r="O52" s="7" t="str">
        <x:v>2026-10-04</x:v>
      </x:c>
    </x:row>
    <x:row r="53" ht="63" customHeight="1">
      <x:c r="A53" s="9" t="str">
        <x:v>D052</x:v>
      </x:c>
      <x:c r="B53" s="9" t="str">
        <x:v>CoCo都可</x:v>
      </x:c>
      <x:c r="C53" s="9" t="str">
        <x:v>黑糖珍珠奶茶</x:v>
      </x:c>
      <x:c r="D53" s="9" t="str">
        <x:v>500 ml（页面杯型范围，未映射到热量配置）</x:v>
      </x:c>
      <x:c r="E53" s="9" t="str">
        <x:v>未注明（估算按常规有糖配方，糖量为假设）</x:v>
      </x:c>
      <x:c r="F53" s="11" t="n">
        <x:v>430</x:v>
      </x:c>
      <x:c r="G53" s="9" t="str">
        <x:v>300–600</x:v>
      </x:c>
      <x:c r="H53" s="9" t="str">
        <x:v>配料估算</x:v>
      </x:c>
      <x:c r="I53" s="9" t="str">
        <x:v>黑糖珍珠</x:v>
      </x:c>
      <x:c r="J53" s="12" t="str">
        <x:v>待核实</x:v>
      </x:c>
      <x:c r="K53" s="12" t="str"/>
      <x:c r="L53" s="9" t="str">
        <x:v>https://www.nckfhsm.com/products/hei-tang-zhen-zhu-nai-cha-coco-dou-ke</x:v>
      </x:c>
      <x:c r="M53" s="9" t="str">
        <x:v>来源仅支持名称/配料，不支持本条整杯数值。假设奶茶基底260 kcal+含糖珍珠170 kcal；不含额外布丁鲜芋。</x:v>
      </x:c>
      <x:c r="N53" s="9" t="str">
        <x:v>待核对中国大陆门店是否常售，以及本杯容量、糖度、冰量和自带料；不能按整杯热量直接乘糖度比例。</x:v>
      </x:c>
      <x:c r="O53" s="9" t="str">
        <x:v>2026-10-04</x:v>
      </x:c>
    </x:row>
    <x:row r="54" ht="46" customHeight="1">
      <x:c r="A54" s="7" t="str">
        <x:v>D053</x:v>
      </x:c>
      <x:c r="B54" s="7" t="str">
        <x:v>CoCo都可</x:v>
      </x:c>
      <x:c r="C54" s="7" t="str">
        <x:v>莓莓冰奶</x:v>
      </x:c>
      <x:c r="D54" s="7" t="str">
        <x:v>500 ml（页面杯型范围，未映射到热量配置）</x:v>
      </x:c>
      <x:c r="E54" s="7" t="str">
        <x:v>未注明（估算按常规有糖配方，糖量为假设）</x:v>
      </x:c>
      <x:c r="F54" s="10" t="n">
        <x:v>280</x:v>
      </x:c>
      <x:c r="G54" s="7" t="str">
        <x:v>180–410</x:v>
      </x:c>
      <x:c r="H54" s="7" t="str">
        <x:v>配料估算</x:v>
      </x:c>
      <x:c r="I54" s="7" t="str"/>
      <x:c r="J54" s="12" t="str">
        <x:v>待核实</x:v>
      </x:c>
      <x:c r="K54" s="12" t="str"/>
      <x:c r="L54" s="7" t="str">
        <x:v>https://www.nckfhsm.com/products/mei-mei-bing-nai</x:v>
      </x:c>
      <x:c r="M54" s="7" t="str">
        <x:v>来源仅支持名称/配料，不支持本条整杯数值。假设牛奶200ml×60kcal/100ml=120 kcal+莓果浆80 kcal+糖20g×4=80 kcal。</x:v>
      </x:c>
      <x:c r="N54" s="7" t="str">
        <x:v>待核对中国大陆门店是否常售，以及本杯容量、糖度、冰量和自带料；不能按整杯热量直接乘糖度比例。</x:v>
      </x:c>
      <x:c r="O54" s="7" t="str">
        <x:v>2026-10-04</x:v>
      </x:c>
    </x:row>
    <x:row r="55" ht="46" customHeight="1">
      <x:c r="A55" s="9" t="str">
        <x:v>D054</x:v>
      </x:c>
      <x:c r="B55" s="9" t="str">
        <x:v>茉莉奶白</x:v>
      </x:c>
      <x:c r="C55" s="9" t="str">
        <x:v>茉莉奶白</x:v>
      </x:c>
      <x:c r="D55" s="9" t="str">
        <x:v>未注明（按常见一杯暂估，须核对容量）</x:v>
      </x:c>
      <x:c r="E55" s="9" t="str">
        <x:v>未注明（页面列糖度选项，但没有热量与配置映射）</x:v>
      </x:c>
      <x:c r="F55" s="11" t="n">
        <x:v>230</x:v>
      </x:c>
      <x:c r="G55" s="9" t="str">
        <x:v>未注明</x:v>
      </x:c>
      <x:c r="H55" s="9" t="str">
        <x:v>第三方参考</x:v>
      </x:c>
      <x:c r="I55" s="9" t="str"/>
      <x:c r="J55" s="12" t="str">
        <x:v>待核实</x:v>
      </x:c>
      <x:c r="K55" s="12" t="str"/>
      <x:c r="L55" s="9" t="str">
        <x:v>https://www.nckfhsm.com/products/mo-li-nai-bai</x:v>
      </x:c>
      <x:c r="M55" s="9" t="str">
        <x:v>页面读取热量 230 kcal；有范围则取区间中点作暂用参考，非官方核实值。</x:v>
      </x:c>
      <x:c r="N55" s="9" t="str">
        <x:v>待核对中国大陆门店是否常售，以及本杯容量、糖度、冰量和自带料；不能按整杯热量直接乘糖度比例。 来源未提供范围，未自行补造。</x:v>
      </x:c>
      <x:c r="O55" s="9" t="str">
        <x:v>2026-10-04</x:v>
      </x:c>
    </x:row>
    <x:row r="56" ht="46" customHeight="1">
      <x:c r="A56" s="7" t="str">
        <x:v>D055</x:v>
      </x:c>
      <x:c r="B56" s="7" t="str">
        <x:v>茉莉奶白</x:v>
      </x:c>
      <x:c r="C56" s="7" t="str">
        <x:v>栀子奶白</x:v>
      </x:c>
      <x:c r="D56" s="7" t="str">
        <x:v>未注明（按常见一杯暂估，须核对容量）</x:v>
      </x:c>
      <x:c r="E56" s="7" t="str">
        <x:v>未注明（估算按常规有糖配方，糖量为假设）</x:v>
      </x:c>
      <x:c r="F56" s="10" t="n">
        <x:v>230</x:v>
      </x:c>
      <x:c r="G56" s="7" t="str">
        <x:v>150–340</x:v>
      </x:c>
      <x:c r="H56" s="7" t="str">
        <x:v>配料估算</x:v>
      </x:c>
      <x:c r="I56" s="7" t="str"/>
      <x:c r="J56" s="12" t="str">
        <x:v>待核实</x:v>
      </x:c>
      <x:c r="K56" s="12" t="str"/>
      <x:c r="L56" s="7" t="str">
        <x:v>https://www.nckfhsm.com/products/zhi-zi-nai-bai</x:v>
      </x:c>
      <x:c r="M56" s="7" t="str">
        <x:v>来源仅支持名称/配料，不支持本条整杯数值。假设牛奶250ml×60kcal/100ml=150 kcal+糖20g×4=80 kcal；不含额外小料。</x:v>
      </x:c>
      <x:c r="N56" s="7" t="str">
        <x:v>待核对中国大陆门店是否常售，以及本杯容量、糖度、冰量和自带料；不能按整杯热量直接乘糖度比例。</x:v>
      </x:c>
      <x:c r="O56" s="7" t="str">
        <x:v>2026-10-04</x:v>
      </x:c>
    </x:row>
    <x:row r="57" ht="46" customHeight="1">
      <x:c r="A57" s="9" t="str">
        <x:v>D056</x:v>
      </x:c>
      <x:c r="B57" s="9" t="str">
        <x:v>茉莉奶白</x:v>
      </x:c>
      <x:c r="C57" s="9" t="str">
        <x:v>白兰</x:v>
      </x:c>
      <x:c r="D57" s="9" t="str">
        <x:v>未注明（按常见一杯暂估，须核对容量）</x:v>
      </x:c>
      <x:c r="E57" s="9" t="str">
        <x:v>未注明（估算按常规有糖配方，糖量为假设）</x:v>
      </x:c>
      <x:c r="F57" s="11" t="n">
        <x:v>240</x:v>
      </x:c>
      <x:c r="G57" s="9" t="str">
        <x:v>150–350</x:v>
      </x:c>
      <x:c r="H57" s="9" t="str">
        <x:v>配料估算</x:v>
      </x:c>
      <x:c r="I57" s="9" t="str"/>
      <x:c r="J57" s="12" t="str">
        <x:v>待核实</x:v>
      </x:c>
      <x:c r="K57" s="12" t="str"/>
      <x:c r="L57" s="9" t="str">
        <x:v>https://www.nckfhsm.com/products/bai-lan</x:v>
      </x:c>
      <x:c r="M57" s="9" t="str">
        <x:v>来源仅支持名称/配料，不支持本条整杯数值。假设牛奶250ml×60kcal/100ml=150 kcal+糖/风味基底90 kcal；页面未给可读取热量。</x:v>
      </x:c>
      <x:c r="N57" s="9" t="str">
        <x:v>待核对中国大陆门店是否常售，以及本杯容量、糖度、冰量和自带料；不能按整杯热量直接乘糖度比例。</x:v>
      </x:c>
      <x:c r="O57" s="9" t="str">
        <x:v>2026-10-04</x:v>
      </x:c>
    </x:row>
    <x:row r="58" ht="46" customHeight="1">
      <x:c r="A58" s="7" t="str">
        <x:v>D057</x:v>
      </x:c>
      <x:c r="B58" s="7" t="str">
        <x:v>茉莉奶白</x:v>
      </x:c>
      <x:c r="C58" s="7" t="str">
        <x:v>一朵茉莉花</x:v>
      </x:c>
      <x:c r="D58" s="7" t="str">
        <x:v>未注明（按常见一杯暂估，须核对容量）</x:v>
      </x:c>
      <x:c r="E58" s="7" t="str">
        <x:v>未注明（估算按常规有糖配方，糖量为假设）</x:v>
      </x:c>
      <x:c r="F58" s="10" t="n">
        <x:v>400</x:v>
      </x:c>
      <x:c r="G58" s="7" t="str">
        <x:v>280–560</x:v>
      </x:c>
      <x:c r="H58" s="7" t="str">
        <x:v>配料估算</x:v>
      </x:c>
      <x:c r="I58" s="7" t="str">
        <x:v>茉莉忌廉云顶、碧根果碎</x:v>
      </x:c>
      <x:c r="J58" s="12" t="str">
        <x:v>待核实</x:v>
      </x:c>
      <x:c r="K58" s="12" t="str"/>
      <x:c r="L58" s="7" t="str">
        <x:v>https://www.nckfhsm.com/products/yi-duo-mo-li-hua</x:v>
      </x:c>
      <x:c r="M58" s="7" t="str">
        <x:v>来源仅支持名称/配料，不支持本条整杯数值。假设鲜奶茶230 kcal+忌廉云顶140 kcal+碧根果碎30 kcal。</x:v>
      </x:c>
      <x:c r="N58" s="7" t="str">
        <x:v>待核对中国大陆门店是否常售，以及本杯容量、糖度、冰量和自带料；不能按整杯热量直接乘糖度比例。</x:v>
      </x:c>
      <x:c r="O58" s="7" t="str">
        <x:v>2026-10-04</x:v>
      </x:c>
    </x:row>
    <x:row r="59" ht="46" customHeight="1">
      <x:c r="A59" s="9" t="str">
        <x:v>D058</x:v>
      </x:c>
      <x:c r="B59" s="9" t="str">
        <x:v>茉莉奶白</x:v>
      </x:c>
      <x:c r="C59" s="9" t="str">
        <x:v>针王葡萄</x:v>
      </x:c>
      <x:c r="D59" s="9" t="str">
        <x:v>未注明（按常见一杯暂估，须核对容量）</x:v>
      </x:c>
      <x:c r="E59" s="9" t="str">
        <x:v>未注明（估算按常规有糖配方，糖量为假设）</x:v>
      </x:c>
      <x:c r="F59" s="11" t="n">
        <x:v>270</x:v>
      </x:c>
      <x:c r="G59" s="9" t="str">
        <x:v>180–400</x:v>
      </x:c>
      <x:c r="H59" s="9" t="str">
        <x:v>配料估算</x:v>
      </x:c>
      <x:c r="I59" s="9" t="str"/>
      <x:c r="J59" s="12" t="str">
        <x:v>待核实</x:v>
      </x:c>
      <x:c r="K59" s="12" t="str"/>
      <x:c r="L59" s="9" t="str">
        <x:v>https://www.nckfhsm.com/products/zhen-wang-pu-tao</x:v>
      </x:c>
      <x:c r="M59" s="9" t="str">
        <x:v>来源仅支持名称/配料，不支持本条整杯数值。假设牛奶200ml×60kcal/100ml=120 kcal+葡萄汁100 kcal+糖/风味50 kcal。</x:v>
      </x:c>
      <x:c r="N59" s="9" t="str">
        <x:v>待核对中国大陆门店是否常售，以及本杯容量、糖度、冰量和自带料；不能按整杯热量直接乘糖度比例。</x:v>
      </x:c>
      <x:c r="O59" s="9" t="str">
        <x:v>2026-10-04</x:v>
      </x:c>
    </x:row>
    <x:row r="60" ht="46" customHeight="1">
      <x:c r="A60" s="7" t="str">
        <x:v>D059</x:v>
      </x:c>
      <x:c r="B60" s="7" t="str">
        <x:v>茉莉奶白</x:v>
      </x:c>
      <x:c r="C60" s="7" t="str">
        <x:v>针王苹果</x:v>
      </x:c>
      <x:c r="D60" s="7" t="str">
        <x:v>未注明（按常见一杯暂估，须核对容量）</x:v>
      </x:c>
      <x:c r="E60" s="7" t="str">
        <x:v>未注明（估算按常规有糖配方，糖量为假设）</x:v>
      </x:c>
      <x:c r="F60" s="10" t="n">
        <x:v>250</x:v>
      </x:c>
      <x:c r="G60" s="7" t="str">
        <x:v>160–370</x:v>
      </x:c>
      <x:c r="H60" s="7" t="str">
        <x:v>配料估算</x:v>
      </x:c>
      <x:c r="I60" s="7" t="str"/>
      <x:c r="J60" s="12" t="str">
        <x:v>待核实</x:v>
      </x:c>
      <x:c r="K60" s="12" t="str"/>
      <x:c r="L60" s="7" t="str">
        <x:v>https://www.nckfhsm.com/products/zhen-wang-ping-guo</x:v>
      </x:c>
      <x:c r="M60" s="7" t="str">
        <x:v>来源仅支持名称/配料，不支持本条整杯数值。假设牛奶200ml×60kcal/100ml=120 kcal+苹果汁80 kcal+糖/风味50 kcal。</x:v>
      </x:c>
      <x:c r="N60" s="7" t="str">
        <x:v>待核对中国大陆门店是否常售，以及本杯容量、糖度、冰量和自带料；不能按整杯热量直接乘糖度比例。</x:v>
      </x:c>
      <x:c r="O60" s="7" t="str">
        <x:v>2026-10-04</x:v>
      </x:c>
    </x:row>
    <x:row r="61" ht="46" customHeight="1">
      <x:c r="A61" s="9" t="str">
        <x:v>D060</x:v>
      </x:c>
      <x:c r="B61" s="9" t="str">
        <x:v>茉莉奶白</x:v>
      </x:c>
      <x:c r="C61" s="9" t="str">
        <x:v>针王橘子</x:v>
      </x:c>
      <x:c r="D61" s="9" t="str">
        <x:v>未注明（按常见一杯暂估，须核对容量）</x:v>
      </x:c>
      <x:c r="E61" s="9" t="str">
        <x:v>未注明（估算按常规有糖配方，糖量为假设）</x:v>
      </x:c>
      <x:c r="F61" s="11" t="n">
        <x:v>260</x:v>
      </x:c>
      <x:c r="G61" s="9" t="str">
        <x:v>170–390</x:v>
      </x:c>
      <x:c r="H61" s="9" t="str">
        <x:v>配料估算</x:v>
      </x:c>
      <x:c r="I61" s="9" t="str"/>
      <x:c r="J61" s="12" t="str">
        <x:v>待核实</x:v>
      </x:c>
      <x:c r="K61" s="12" t="str"/>
      <x:c r="L61" s="9" t="str">
        <x:v>https://www.nckfhsm.com/products/zhen-wang-ju-zi</x:v>
      </x:c>
      <x:c r="M61" s="9" t="str">
        <x:v>来源仅支持名称/配料，不支持本条整杯数值。假设牛奶200ml×60kcal/100ml=120 kcal+复合柑橘汁80 kcal+糖15g×4=60 kcal。</x:v>
      </x:c>
      <x:c r="N61" s="9" t="str">
        <x:v>待核对中国大陆门店是否常售，以及本杯容量、糖度、冰量和自带料；不能按整杯热量直接乘糖度比例。</x:v>
      </x:c>
      <x:c r="O61" s="9" t="str">
        <x:v>2026-10-04</x:v>
      </x:c>
    </x:row>
    <x:row r="62" ht="46" customHeight="1">
      <x:c r="A62" s="7" t="str">
        <x:v>D061</x:v>
      </x:c>
      <x:c r="B62" s="7" t="str">
        <x:v>茉莉奶白</x:v>
      </x:c>
      <x:c r="C62" s="7" t="str">
        <x:v>粉红苹果茉莉椰</x:v>
      </x:c>
      <x:c r="D62" s="7" t="str">
        <x:v>未注明（按常见一杯暂估，须核对容量）</x:v>
      </x:c>
      <x:c r="E62" s="7" t="str">
        <x:v>未注明（页面列糖度选项，但没有热量与配置映射）</x:v>
      </x:c>
      <x:c r="F62" s="10" t="n">
        <x:v>91</x:v>
      </x:c>
      <x:c r="G62" s="7" t="str">
        <x:v>未注明</x:v>
      </x:c>
      <x:c r="H62" s="7" t="str">
        <x:v>第三方参考</x:v>
      </x:c>
      <x:c r="I62" s="7" t="str"/>
      <x:c r="J62" s="12" t="str">
        <x:v>待核实</x:v>
      </x:c>
      <x:c r="K62" s="12" t="str"/>
      <x:c r="L62" s="7" t="str">
        <x:v>https://www.nckfhsm.com/products/fen-hong-ping-guo-mo-li-ye</x:v>
      </x:c>
      <x:c r="M62" s="7" t="str">
        <x:v>页面读取热量 91 kcal；有范围则取区间中点作暂用参考，非官方核实值。</x:v>
      </x:c>
      <x:c r="N62" s="7" t="str">
        <x:v>待核对中国大陆门店是否常售，以及本杯容量、糖度、冰量和自带料；不能按整杯热量直接乘糖度比例。 来源未提供范围，未自行补造。</x:v>
      </x:c>
      <x:c r="O62" s="7" t="str">
        <x:v>2026-10-04</x:v>
      </x:c>
    </x:row>
    <x:row r="63" ht="46" customHeight="1">
      <x:c r="A63" s="9" t="str">
        <x:v>D062</x:v>
      </x:c>
      <x:c r="B63" s="9" t="str">
        <x:v>沪上阿姨</x:v>
      </x:c>
      <x:c r="C63" s="9" t="str">
        <x:v>血糯米奶茶</x:v>
      </x:c>
      <x:c r="D63" s="9" t="str">
        <x:v>未注明（按常见一杯暂估，须核对容量）</x:v>
      </x:c>
      <x:c r="E63" s="9" t="str">
        <x:v>未注明（页面列糖度选项，但没有热量与配置映射）</x:v>
      </x:c>
      <x:c r="F63" s="11" t="n">
        <x:v>240</x:v>
      </x:c>
      <x:c r="G63" s="9" t="str">
        <x:v>未注明</x:v>
      </x:c>
      <x:c r="H63" s="9" t="str">
        <x:v>第三方参考</x:v>
      </x:c>
      <x:c r="I63" s="9" t="str">
        <x:v>血糯米</x:v>
      </x:c>
      <x:c r="J63" s="12" t="str">
        <x:v>待核实</x:v>
      </x:c>
      <x:c r="K63" s="12" t="str"/>
      <x:c r="L63" s="9" t="str">
        <x:v>https://www.nckfhsm.com/products/xue-nuo-mi-nai-cha</x:v>
      </x:c>
      <x:c r="M63" s="9" t="str">
        <x:v>页面读取热量 240 kcal；有范围则取区间中点作暂用参考，非官方核实值。</x:v>
      </x:c>
      <x:c r="N63" s="9" t="str">
        <x:v>待核对中国大陆门店是否常售，以及本杯容量、糖度、冰量和自带料；不能按整杯热量直接乘糖度比例。 来源未提供范围，未自行补造。</x:v>
      </x:c>
      <x:c r="O63" s="9" t="str">
        <x:v>2026-10-04</x:v>
      </x:c>
    </x:row>
    <x:row r="64" ht="63" customHeight="1">
      <x:c r="A64" s="7" t="str">
        <x:v>D063</x:v>
      </x:c>
      <x:c r="B64" s="7" t="str">
        <x:v>沪上阿姨</x:v>
      </x:c>
      <x:c r="C64" s="7" t="str">
        <x:v>手作黑糖波波牛乳茶</x:v>
      </x:c>
      <x:c r="D64" s="7" t="str">
        <x:v>未注明（按常见一杯暂估，须核对容量）</x:v>
      </x:c>
      <x:c r="E64" s="7" t="str">
        <x:v>未注明（估算按常规有糖配方，糖量为假设）</x:v>
      </x:c>
      <x:c r="F64" s="10" t="n">
        <x:v>400</x:v>
      </x:c>
      <x:c r="G64" s="7" t="str">
        <x:v>280–560</x:v>
      </x:c>
      <x:c r="H64" s="7" t="str">
        <x:v>配料估算</x:v>
      </x:c>
      <x:c r="I64" s="7" t="str">
        <x:v>黑糖珍珠</x:v>
      </x:c>
      <x:c r="J64" s="12" t="str">
        <x:v>待核实</x:v>
      </x:c>
      <x:c r="K64" s="12" t="str"/>
      <x:c r="L64" s="7" t="str">
        <x:v>https://www.nckfhsm.com/products/shou-zuo-hei-tang-bo-bo-niu-ru-cha</x:v>
      </x:c>
      <x:c r="M64" s="7" t="str">
        <x:v>来源仅支持名称/配料，不支持本条整杯数值。假设牛奶300ml×60kcal/100ml=180 kcal+黑糖珍珠160 kcal+糖浆60 kcal。</x:v>
      </x:c>
      <x:c r="N64" s="7" t="str">
        <x:v>待核对中国大陆门店是否常售，以及本杯容量、糖度、冰量和自带料；不能按整杯热量直接乘糖度比例。</x:v>
      </x:c>
      <x:c r="O64" s="7" t="str">
        <x:v>2026-10-04</x:v>
      </x:c>
    </x:row>
    <x:row r="65" ht="63" customHeight="1">
      <x:c r="A65" s="9" t="str">
        <x:v>D064</x:v>
      </x:c>
      <x:c r="B65" s="9" t="str">
        <x:v>沪上阿姨</x:v>
      </x:c>
      <x:c r="C65" s="9" t="str">
        <x:v>杨枝甘露经典版</x:v>
      </x:c>
      <x:c r="D65" s="9" t="str">
        <x:v>未注明（按常见一杯暂估，须核对容量）</x:v>
      </x:c>
      <x:c r="E65" s="9" t="str">
        <x:v>未注明（估算按常规有糖配方，糖量为假设）</x:v>
      </x:c>
      <x:c r="F65" s="11" t="n">
        <x:v>450</x:v>
      </x:c>
      <x:c r="G65" s="9" t="str">
        <x:v>300–650</x:v>
      </x:c>
      <x:c r="H65" s="9" t="str">
        <x:v>配料估算</x:v>
      </x:c>
      <x:c r="I65" s="9" t="str">
        <x:v>大多肉、小多肉、芝士奶盖、芒果、西柚粒</x:v>
      </x:c>
      <x:c r="J65" s="12" t="str">
        <x:v>待核实</x:v>
      </x:c>
      <x:c r="K65" s="12" t="str"/>
      <x:c r="L65" s="9" t="str">
        <x:v>https://www.nckfhsm.com/products/yang-zhi-gan-lu-jing-dian-ban</x:v>
      </x:c>
      <x:c r="M65" s="9" t="str">
        <x:v>来源仅支持名称/配料，不支持本条整杯数值。假设芒果/西柚100 kcal+椰奶100 kcal+多肉80 kcal+芝士奶盖110 kcal+糖15g×4=60 kcal。</x:v>
      </x:c>
      <x:c r="N65" s="9" t="str">
        <x:v>待核对中国大陆门店是否常售，以及本杯容量、糖度、冰量和自带料；不能按整杯热量直接乘糖度比例。</x:v>
      </x:c>
      <x:c r="O65" s="9" t="str">
        <x:v>2026-10-04</x:v>
      </x:c>
    </x:row>
    <x:row r="66" ht="46" customHeight="1">
      <x:c r="A66" s="7" t="str">
        <x:v>D065</x:v>
      </x:c>
      <x:c r="B66" s="7" t="str">
        <x:v>沪上阿姨</x:v>
      </x:c>
      <x:c r="C66" s="7" t="str">
        <x:v>桃桃蜜柚</x:v>
      </x:c>
      <x:c r="D66" s="7" t="str">
        <x:v>未注明（按常见一杯暂估，须核对容量）</x:v>
      </x:c>
      <x:c r="E66" s="7" t="str">
        <x:v>未注明（估算按常规有糖配方，糖量为假设）</x:v>
      </x:c>
      <x:c r="F66" s="10" t="n">
        <x:v>220</x:v>
      </x:c>
      <x:c r="G66" s="7" t="str">
        <x:v>130–340</x:v>
      </x:c>
      <x:c r="H66" s="7" t="str">
        <x:v>配料估算</x:v>
      </x:c>
      <x:c r="I66" s="7" t="str">
        <x:v>西柚果粒</x:v>
      </x:c>
      <x:c r="J66" s="12" t="str">
        <x:v>待核实</x:v>
      </x:c>
      <x:c r="K66" s="12" t="str"/>
      <x:c r="L66" s="7" t="str">
        <x:v>https://www.nckfhsm.com/products/tao-tao-mi-you</x:v>
      </x:c>
      <x:c r="M66" s="7" t="str">
        <x:v>来源仅支持名称/配料，不支持本条整杯数值。假设桃汁西柚等果料100 kcal+可消化糖30g×4=120 kcal。</x:v>
      </x:c>
      <x:c r="N66" s="7" t="str">
        <x:v>待核对中国大陆门店是否常售，以及本杯容量、糖度、冰量和自带料；不能按整杯热量直接乘糖度比例。</x:v>
      </x:c>
      <x:c r="O66" s="7" t="str">
        <x:v>2026-10-04</x:v>
      </x:c>
    </x:row>
    <x:row r="67" ht="63" customHeight="1">
      <x:c r="A67" s="9" t="str">
        <x:v>D066</x:v>
      </x:c>
      <x:c r="B67" s="9" t="str">
        <x:v>沪上阿姨</x:v>
      </x:c>
      <x:c r="C67" s="9" t="str">
        <x:v>冰蓝海盐冰奶</x:v>
      </x:c>
      <x:c r="D67" s="9" t="str">
        <x:v>未注明（按常见一杯暂估，须核对容量）</x:v>
      </x:c>
      <x:c r="E67" s="9" t="str">
        <x:v>未注明（页面列糖度选项，但没有热量与配置映射）</x:v>
      </x:c>
      <x:c r="F67" s="11" t="n">
        <x:v>210</x:v>
      </x:c>
      <x:c r="G67" s="9" t="str">
        <x:v>未注明</x:v>
      </x:c>
      <x:c r="H67" s="9" t="str">
        <x:v>第三方参考</x:v>
      </x:c>
      <x:c r="I67" s="9" t="str"/>
      <x:c r="J67" s="12" t="str">
        <x:v>待核实</x:v>
      </x:c>
      <x:c r="K67" s="12" t="str"/>
      <x:c r="L67" s="9" t="str">
        <x:v>https://www.nckfhsm.com/products/bing-lan-hai-yan-bing-nai-hu-shang-a-yi</x:v>
      </x:c>
      <x:c r="M67" s="9" t="str">
        <x:v>页面读取热量 210 kcal；有范围则取区间中点作暂用参考，非官方核实值。</x:v>
      </x:c>
      <x:c r="N67" s="9" t="str">
        <x:v>待核对中国大陆门店是否常售，以及本杯容量、糖度、冰量和自带料；不能按整杯热量直接乘糖度比例。 来源未提供范围，未自行补造。</x:v>
      </x:c>
      <x:c r="O67" s="9" t="str">
        <x:v>2026-10-04</x:v>
      </x:c>
    </x:row>
    <x:row r="68" ht="63" customHeight="1">
      <x:c r="A68" s="7" t="str">
        <x:v>D067</x:v>
      </x:c>
      <x:c r="B68" s="7" t="str">
        <x:v>沪上阿姨</x:v>
      </x:c>
      <x:c r="C68" s="7" t="str">
        <x:v>Zhen珠奶茶</x:v>
      </x:c>
      <x:c r="D68" s="7" t="str">
        <x:v>未注明（按常见一杯暂估，须核对容量）</x:v>
      </x:c>
      <x:c r="E68" s="7" t="str">
        <x:v>未注明（估算按常规有糖配方，糖量为假设）</x:v>
      </x:c>
      <x:c r="F68" s="10" t="n">
        <x:v>400</x:v>
      </x:c>
      <x:c r="G68" s="7" t="str">
        <x:v>280–560</x:v>
      </x:c>
      <x:c r="H68" s="7" t="str">
        <x:v>配料估算</x:v>
      </x:c>
      <x:c r="I68" s="7" t="str">
        <x:v>黑糖珍珠</x:v>
      </x:c>
      <x:c r="J68" s="12" t="str">
        <x:v>待核实</x:v>
      </x:c>
      <x:c r="K68" s="12" t="str"/>
      <x:c r="L68" s="7" t="str">
        <x:v>https://www.nckfhsm.com/products/zhen-zhu-nai-cha-hu-shang-a-yi</x:v>
      </x:c>
      <x:c r="M68" s="7" t="str">
        <x:v>来源仅支持名称/配料，不支持本条整杯数值。假设牛奶300ml×60kcal/100ml=180 kcal+黑糖珍珠160 kcal+糖浆60 kcal。</x:v>
      </x:c>
      <x:c r="N68" s="7" t="str">
        <x:v>待核对中国大陆门店是否常售，以及本杯容量、糖度、冰量和自带料；不能按整杯热量直接乘糖度比例。</x:v>
      </x:c>
      <x:c r="O68" s="7" t="str">
        <x:v>2026-10-04</x:v>
      </x:c>
    </x:row>
    <x:row r="69" ht="46" customHeight="1">
      <x:c r="A69" s="9" t="str">
        <x:v>D068</x:v>
      </x:c>
      <x:c r="B69" s="9" t="str">
        <x:v>沪上阿姨</x:v>
      </x:c>
      <x:c r="C69" s="9" t="str">
        <x:v>沁爽柠檬冰茶</x:v>
      </x:c>
      <x:c r="D69" s="9" t="str">
        <x:v>未注明（按常见一杯暂估，须核对容量）</x:v>
      </x:c>
      <x:c r="E69" s="9" t="str">
        <x:v>未注明（估算按常规有糖配方，糖量为假设）</x:v>
      </x:c>
      <x:c r="F69" s="11" t="n">
        <x:v>160</x:v>
      </x:c>
      <x:c r="G69" s="9" t="str">
        <x:v>80–260</x:v>
      </x:c>
      <x:c r="H69" s="9" t="str">
        <x:v>配料估算</x:v>
      </x:c>
      <x:c r="I69" s="9" t="str"/>
      <x:c r="J69" s="12" t="str">
        <x:v>待核实</x:v>
      </x:c>
      <x:c r="K69" s="12" t="str"/>
      <x:c r="L69" s="9" t="str">
        <x:v>https://www.nckfhsm.com/products/qin-shuang-ning-meng-bing-cha</x:v>
      </x:c>
      <x:c r="M69" s="9" t="str">
        <x:v>来源仅支持名称/配料，不支持本条整杯数值。假设柠檬汁20 kcal+可消化糖35g×4=140 kcal。</x:v>
      </x:c>
      <x:c r="N69" s="9" t="str">
        <x:v>待核对中国大陆门店是否常售，以及本杯容量、糖度、冰量和自带料；不能按整杯热量直接乘糖度比例。</x:v>
      </x:c>
      <x:c r="O69" s="9" t="str">
        <x:v>2026-10-04</x:v>
      </x:c>
    </x:row>
    <x:row r="70" ht="63" customHeight="1">
      <x:c r="A70" s="7" t="str">
        <x:v>D069</x:v>
      </x:c>
      <x:c r="B70" s="7" t="str">
        <x:v>沪上阿姨</x:v>
      </x:c>
      <x:c r="C70" s="7" t="str">
        <x:v>岩上奇兰（白芽奇兰轻乳茶）</x:v>
      </x:c>
      <x:c r="D70" s="7" t="str">
        <x:v>未注明（按常见一杯暂估，须核对容量）</x:v>
      </x:c>
      <x:c r="E70" s="7" t="str">
        <x:v>未注明（估算按常规有糖配方，糖量为假设）</x:v>
      </x:c>
      <x:c r="F70" s="10" t="n">
        <x:v>230</x:v>
      </x:c>
      <x:c r="G70" s="7" t="str">
        <x:v>150–350</x:v>
      </x:c>
      <x:c r="H70" s="7" t="str">
        <x:v>配料估算</x:v>
      </x:c>
      <x:c r="I70" s="7" t="str"/>
      <x:c r="J70" s="12" t="str">
        <x:v>待核实</x:v>
      </x:c>
      <x:c r="K70" s="12" t="str"/>
      <x:c r="L70" s="7" t="str">
        <x:v>https://www.nckfhsm.com/products/yan-shang-qi-lan-bai-ya-qi-lan-qing-ru-cha</x:v>
      </x:c>
      <x:c r="M70" s="7" t="str">
        <x:v>来源仅支持名称/配料，不支持本条整杯数值。假设牛奶250ml×60kcal/100ml=150 kcal+糖20g×4=80 kcal。</x:v>
      </x:c>
      <x:c r="N70" s="7" t="str">
        <x:v>待核对中国大陆门店是否常售，以及本杯容量、糖度、冰量和自带料；不能按整杯热量直接乘糖度比例。</x:v>
      </x:c>
      <x:c r="O70" s="7" t="str">
        <x:v>2026-10-04</x:v>
      </x:c>
    </x:row>
    <x:row r="71" ht="46" customHeight="1">
      <x:c r="A71" s="9" t="str">
        <x:v>D070</x:v>
      </x:c>
      <x:c r="B71" s="9" t="str">
        <x:v>奈雪的茶</x:v>
      </x:c>
      <x:c r="C71" s="9" t="str">
        <x:v>霸气杨枝甘露</x:v>
      </x:c>
      <x:c r="D71" s="9" t="str">
        <x:v>500~650 ml（页面杯型范围，未映射到热量配置）</x:v>
      </x:c>
      <x:c r="E71" s="9" t="str">
        <x:v>未注明（估算按常规有糖配方，糖量为假设）</x:v>
      </x:c>
      <x:c r="F71" s="11" t="n">
        <x:v>360</x:v>
      </x:c>
      <x:c r="G71" s="9" t="str">
        <x:v>250–520</x:v>
      </x:c>
      <x:c r="H71" s="9" t="str">
        <x:v>配料估算</x:v>
      </x:c>
      <x:c r="I71" s="9" t="str">
        <x:v>西米、芒果、西柚</x:v>
      </x:c>
      <x:c r="J71" s="12" t="str">
        <x:v>待核实</x:v>
      </x:c>
      <x:c r="K71" s="12" t="str"/>
      <x:c r="L71" s="9" t="str">
        <x:v>https://www.nckfhsm.com/products/ba-qi-yang-zhi-gan-lu</x:v>
      </x:c>
      <x:c r="M71" s="9" t="str">
        <x:v>来源仅支持名称/配料，不支持本条整杯数值。假设芒果/西柚100 kcal+椰奶100 kcal+西米100 kcal+糖15g×4=60 kcal。</x:v>
      </x:c>
      <x:c r="N71" s="9" t="str">
        <x:v>待核对中国大陆门店是否常售，以及本杯容量、糖度、冰量和自带料；不能按整杯热量直接乘糖度比例。</x:v>
      </x:c>
      <x:c r="O71" s="9" t="str">
        <x:v>2026-10-04</x:v>
      </x:c>
    </x:row>
    <x:row r="72" ht="46" customHeight="1">
      <x:c r="A72" s="7" t="str">
        <x:v>D071</x:v>
      </x:c>
      <x:c r="B72" s="7" t="str">
        <x:v>奈雪的茶</x:v>
      </x:c>
      <x:c r="C72" s="7" t="str">
        <x:v>霸气橙子</x:v>
      </x:c>
      <x:c r="D72" s="7" t="str">
        <x:v>500~650 ml（页面杯型范围，未映射到热量配置）</x:v>
      </x:c>
      <x:c r="E72" s="7" t="str">
        <x:v>未注明（估算按常规有糖配方，糖量为假设）</x:v>
      </x:c>
      <x:c r="F72" s="10" t="n">
        <x:v>220</x:v>
      </x:c>
      <x:c r="G72" s="7" t="str">
        <x:v>130–340</x:v>
      </x:c>
      <x:c r="H72" s="7" t="str">
        <x:v>配料估算</x:v>
      </x:c>
      <x:c r="I72" s="7" t="str"/>
      <x:c r="J72" s="12" t="str">
        <x:v>待核实</x:v>
      </x:c>
      <x:c r="K72" s="12" t="str"/>
      <x:c r="L72" s="7" t="str">
        <x:v>https://www.nckfhsm.com/products/ba-qi-cheng-zi-25595</x:v>
      </x:c>
      <x:c r="M72" s="7" t="str">
        <x:v>来源仅支持名称/配料，不支持本条整杯数值。假设鲜橙橙汁120 kcal+糖25g×4=100 kcal；茶汤热量近零。</x:v>
      </x:c>
      <x:c r="N72" s="7" t="str">
        <x:v>待核对中国大陆门店是否常售，以及本杯容量、糖度、冰量和自带料；不能按整杯热量直接乘糖度比例。</x:v>
      </x:c>
      <x:c r="O72" s="7" t="str">
        <x:v>2026-10-04</x:v>
      </x:c>
    </x:row>
    <x:row r="73" ht="63" customHeight="1">
      <x:c r="A73" s="9" t="str">
        <x:v>D072</x:v>
      </x:c>
      <x:c r="B73" s="9" t="str">
        <x:v>奈雪的茶</x:v>
      </x:c>
      <x:c r="C73" s="9" t="str">
        <x:v>霸气芝士葡萄</x:v>
      </x:c>
      <x:c r="D73" s="9" t="str">
        <x:v>500~650 ml（页面杯型范围，未映射到热量配置）</x:v>
      </x:c>
      <x:c r="E73" s="9" t="str">
        <x:v>未注明（估算按常规有糖配方，糖量为假设）</x:v>
      </x:c>
      <x:c r="F73" s="11" t="n">
        <x:v>380</x:v>
      </x:c>
      <x:c r="G73" s="9" t="str">
        <x:v>260–530</x:v>
      </x:c>
      <x:c r="H73" s="9" t="str">
        <x:v>配料估算</x:v>
      </x:c>
      <x:c r="I73" s="9" t="str">
        <x:v>芝士奶盖、葡萄果肉</x:v>
      </x:c>
      <x:c r="J73" s="12" t="str">
        <x:v>待核实</x:v>
      </x:c>
      <x:c r="K73" s="12" t="str"/>
      <x:c r="L73" s="9" t="str">
        <x:v>https://www.nckfhsm.com/products/ba-qi-zhi-shi-pu-tao-nai-xue-de-cha</x:v>
      </x:c>
      <x:c r="M73" s="9" t="str">
        <x:v>来源仅支持名称/配料，不支持本条整杯数值。假设葡萄果肉果汁140 kcal+芝士奶盖140 kcal+糖25g×4=100 kcal。</x:v>
      </x:c>
      <x:c r="N73" s="9" t="str">
        <x:v>待核对中国大陆门店是否常售，以及本杯容量、糖度、冰量和自带料；不能按整杯热量直接乘糖度比例。</x:v>
      </x:c>
      <x:c r="O73" s="9" t="str">
        <x:v>2026-10-04</x:v>
      </x:c>
    </x:row>
    <x:row r="74" ht="46" customHeight="1">
      <x:c r="A74" s="7" t="str">
        <x:v>D073</x:v>
      </x:c>
      <x:c r="B74" s="7" t="str">
        <x:v>奈雪的茶</x:v>
      </x:c>
      <x:c r="C74" s="7" t="str">
        <x:v>霸气芝士芒果</x:v>
      </x:c>
      <x:c r="D74" s="7" t="str">
        <x:v>500~650 ml（页面杯型范围，未映射到热量配置）</x:v>
      </x:c>
      <x:c r="E74" s="7" t="str">
        <x:v>未注明（估算按常规有糖配方，糖量为假设）</x:v>
      </x:c>
      <x:c r="F74" s="10" t="n">
        <x:v>400</x:v>
      </x:c>
      <x:c r="G74" s="7" t="str">
        <x:v>280–560</x:v>
      </x:c>
      <x:c r="H74" s="7" t="str">
        <x:v>配料估算</x:v>
      </x:c>
      <x:c r="I74" s="7" t="str">
        <x:v>芝士奶盖、芒果果肉</x:v>
      </x:c>
      <x:c r="J74" s="12" t="str">
        <x:v>待核实</x:v>
      </x:c>
      <x:c r="K74" s="12" t="str"/>
      <x:c r="L74" s="7" t="str">
        <x:v>https://www.nckfhsm.com/products/ba-qi-zhi-shi-mang-guo</x:v>
      </x:c>
      <x:c r="M74" s="7" t="str">
        <x:v>来源仅支持名称/配料，不支持本条整杯数值。假设芒果果肉果浆160 kcal+芝士奶盖140 kcal+糖25g×4=100 kcal。</x:v>
      </x:c>
      <x:c r="N74" s="7" t="str">
        <x:v>待核对中国大陆门店是否常售，以及本杯容量、糖度、冰量和自带料；不能按整杯热量直接乘糖度比例。</x:v>
      </x:c>
      <x:c r="O74" s="7" t="str">
        <x:v>2026-10-04</x:v>
      </x:c>
    </x:row>
    <x:row r="75" ht="46" customHeight="1">
      <x:c r="A75" s="9" t="str">
        <x:v>D074</x:v>
      </x:c>
      <x:c r="B75" s="9" t="str">
        <x:v>奈雪的茶</x:v>
      </x:c>
      <x:c r="C75" s="9" t="str">
        <x:v>霸气玉油柑</x:v>
      </x:c>
      <x:c r="D75" s="9" t="str">
        <x:v>350 ml（页面杯型范围，未映射到热量配置）</x:v>
      </x:c>
      <x:c r="E75" s="9" t="str">
        <x:v>未注明（估算按常规有糖配方，糖量为假设）</x:v>
      </x:c>
      <x:c r="F75" s="11" t="n">
        <x:v>100</x:v>
      </x:c>
      <x:c r="G75" s="9" t="str">
        <x:v>50–190</x:v>
      </x:c>
      <x:c r="H75" s="9" t="str">
        <x:v>配料估算</x:v>
      </x:c>
      <x:c r="I75" s="9" t="str"/>
      <x:c r="J75" s="12" t="str">
        <x:v>待核实</x:v>
      </x:c>
      <x:c r="K75" s="12" t="str"/>
      <x:c r="L75" s="9" t="str">
        <x:v>https://www.nckfhsm.com/products/ba-qi-yu-you-gan-25655</x:v>
      </x:c>
      <x:c r="M75" s="9" t="str">
        <x:v>来源仅支持名称/配料，不支持本条整杯数值。假设油柑汁40 kcal+糖15g×4=60 kcal；350ml杯。</x:v>
      </x:c>
      <x:c r="N75" s="9" t="str">
        <x:v>待核对中国大陆门店是否常售，以及本杯容量、糖度、冰量和自带料；不能按整杯热量直接乘糖度比例。</x:v>
      </x:c>
      <x:c r="O75" s="9" t="str">
        <x:v>2026-10-04</x:v>
      </x:c>
    </x:row>
    <x:row r="76" ht="46" customHeight="1">
      <x:c r="A76" s="7" t="str">
        <x:v>D075</x:v>
      </x:c>
      <x:c r="B76" s="7" t="str">
        <x:v>奈雪的茶</x:v>
      </x:c>
      <x:c r="C76" s="7" t="str">
        <x:v>茉莉初雪轻乳茶</x:v>
      </x:c>
      <x:c r="D76" s="7" t="str">
        <x:v>500~650 ml（页面杯型范围，未映射到热量配置）</x:v>
      </x:c>
      <x:c r="E76" s="7" t="str">
        <x:v>未注明（估算按常规有糖配方，糖量为假设）</x:v>
      </x:c>
      <x:c r="F76" s="10" t="n">
        <x:v>230</x:v>
      </x:c>
      <x:c r="G76" s="7" t="str">
        <x:v>150–340</x:v>
      </x:c>
      <x:c r="H76" s="7" t="str">
        <x:v>配料估算</x:v>
      </x:c>
      <x:c r="I76" s="7" t="str"/>
      <x:c r="J76" s="12" t="str">
        <x:v>待核实</x:v>
      </x:c>
      <x:c r="K76" s="12" t="str"/>
      <x:c r="L76" s="7" t="str">
        <x:v>https://www.nckfhsm.com/products/mo-li-chu-xue-qing-ru-cha</x:v>
      </x:c>
      <x:c r="M76" s="7" t="str">
        <x:v>来源仅支持名称/配料，不支持本条整杯数值。假设牛奶250ml×60kcal/100ml=150 kcal+糖20g×4=80 kcal。</x:v>
      </x:c>
      <x:c r="N76" s="7" t="str">
        <x:v>待核对中国大陆门店是否常售，以及本杯容量、糖度、冰量和自带料；不能按整杯热量直接乘糖度比例。</x:v>
      </x:c>
      <x:c r="O76" s="7" t="str">
        <x:v>2026-10-04</x:v>
      </x:c>
    </x:row>
    <x:row r="77" ht="63" customHeight="1">
      <x:c r="A77" s="9" t="str">
        <x:v>D076</x:v>
      </x:c>
      <x:c r="B77" s="9" t="str">
        <x:v>奈雪的茶</x:v>
      </x:c>
      <x:c r="C77" s="9" t="str">
        <x:v>金色山脉珍珠奶茶</x:v>
      </x:c>
      <x:c r="D77" s="9" t="str">
        <x:v>500~650 ml（页面杯型范围，未映射到热量配置）</x:v>
      </x:c>
      <x:c r="E77" s="9" t="str">
        <x:v>未注明（估算按常规有糖配方，糖量为假设）</x:v>
      </x:c>
      <x:c r="F77" s="11" t="n">
        <x:v>400</x:v>
      </x:c>
      <x:c r="G77" s="9" t="str">
        <x:v>280–550</x:v>
      </x:c>
      <x:c r="H77" s="9" t="str">
        <x:v>配料估算</x:v>
      </x:c>
      <x:c r="I77" s="9" t="str">
        <x:v>黑糖珍珠</x:v>
      </x:c>
      <x:c r="J77" s="12" t="str">
        <x:v>待核实</x:v>
      </x:c>
      <x:c r="K77" s="12" t="str"/>
      <x:c r="L77" s="9" t="str">
        <x:v>https://www.nckfhsm.com/products/jin-se-shan-mai-zhen-zhu-nai-cha</x:v>
      </x:c>
      <x:c r="M77" s="9" t="str">
        <x:v>来源仅支持名称/配料，不支持本条整杯数值。假设奶茶基底260 kcal+黑糖珍珠140 kcal。</x:v>
      </x:c>
      <x:c r="N77" s="9" t="str">
        <x:v>待核对中国大陆门店是否常售，以及本杯容量、糖度、冰量和自带料；不能按整杯热量直接乘糖度比例。</x:v>
      </x:c>
      <x:c r="O77" s="9" t="str">
        <x:v>2026-10-04</x:v>
      </x:c>
    </x:row>
    <x:row r="78" ht="63" customHeight="1">
      <x:c r="A78" s="7" t="str">
        <x:v>D077</x:v>
      </x:c>
      <x:c r="B78" s="7" t="str">
        <x:v>奈雪的茶</x:v>
      </x:c>
      <x:c r="C78" s="7" t="str">
        <x:v>鸭屎香轻乳茶</x:v>
      </x:c>
      <x:c r="D78" s="7" t="str">
        <x:v>500~650 ml（页面杯型范围，未映射到热量配置）</x:v>
      </x:c>
      <x:c r="E78" s="7" t="str">
        <x:v>未注明（估算按常规有糖配方，糖量为假设）</x:v>
      </x:c>
      <x:c r="F78" s="10" t="n">
        <x:v>230</x:v>
      </x:c>
      <x:c r="G78" s="7" t="str">
        <x:v>150–340</x:v>
      </x:c>
      <x:c r="H78" s="7" t="str">
        <x:v>配料估算</x:v>
      </x:c>
      <x:c r="I78" s="7" t="str"/>
      <x:c r="J78" s="12" t="str">
        <x:v>待核实</x:v>
      </x:c>
      <x:c r="K78" s="12" t="str"/>
      <x:c r="L78" s="7" t="str">
        <x:v>https://www.nckfhsm.com/products/ya-shi-xiang-qing-ru-cha-49472</x:v>
      </x:c>
      <x:c r="M78" s="7" t="str">
        <x:v>来源仅支持名称/配料，不支持本条整杯数值。假设牛奶250ml×60kcal/100ml=150 kcal+糖20g×4=80 kcal。</x:v>
      </x:c>
      <x:c r="N78" s="7" t="str">
        <x:v>待核对中国大陆门店是否常售，以及本杯容量、糖度、冰量和自带料；不能按整杯热量直接乘糖度比例。</x:v>
      </x:c>
      <x:c r="O78" s="7" t="str">
        <x:v>2026-10-04</x:v>
      </x:c>
    </x:row>
    <x:row r="79" ht="46" customHeight="1">
      <x:c r="A79" s="9" t="str">
        <x:v>D078</x:v>
      </x:c>
      <x:c r="B79" s="9" t="str">
        <x:v>喜茶</x:v>
      </x:c>
      <x:c r="C79" s="9" t="str">
        <x:v>九窨茉王·轻乳</x:v>
      </x:c>
      <x:c r="D79" s="9" t="str">
        <x:v>500 ml（页面杯型范围，未映射到热量配置）</x:v>
      </x:c>
      <x:c r="E79" s="9" t="str">
        <x:v>未注明（页面列糖度选项，但没有热量与配置映射）</x:v>
      </x:c>
      <x:c r="F79" s="11" t="n">
        <x:v>163</x:v>
      </x:c>
      <x:c r="G79" s="9" t="str">
        <x:v>119–207</x:v>
      </x:c>
      <x:c r="H79" s="9" t="str">
        <x:v>第三方参考</x:v>
      </x:c>
      <x:c r="I79" s="9" t="str"/>
      <x:c r="J79" s="12" t="str">
        <x:v>待核实</x:v>
      </x:c>
      <x:c r="K79" s="12" t="str"/>
      <x:c r="L79" s="9" t="str">
        <x:v>https://www.nckfhsm.com/products/jiu-xun-mo-wang-qing-ru</x:v>
      </x:c>
      <x:c r="M79" s="9" t="str">
        <x:v>页面读取热量 119~207 kcal；有范围则取区间中点作暂用参考，非官方核实值。</x:v>
      </x:c>
      <x:c r="N79" s="9" t="str">
        <x:v>待核对中国大陆门店是否常售，以及本杯容量、糖度、冰量和自带料；不能按整杯热量直接乘糖度比例。</x:v>
      </x:c>
      <x:c r="O79" s="9" t="str">
        <x:v>2026-10-04</x:v>
      </x:c>
    </x:row>
    <x:row r="80" ht="63" customHeight="1">
      <x:c r="A80" s="7" t="str">
        <x:v>D079</x:v>
      </x:c>
      <x:c r="B80" s="7" t="str">
        <x:v>茶百道</x:v>
      </x:c>
      <x:c r="C80" s="7" t="str">
        <x:v>芒果冰奶</x:v>
      </x:c>
      <x:c r="D80" s="7" t="str">
        <x:v>500 ml（页面杯型范围，未映射到热量配置）</x:v>
      </x:c>
      <x:c r="E80" s="7" t="str">
        <x:v>未注明（估算按常规有糖配方，糖量为假设）</x:v>
      </x:c>
      <x:c r="F80" s="10" t="n">
        <x:v>300</x:v>
      </x:c>
      <x:c r="G80" s="7" t="str">
        <x:v>220–430</x:v>
      </x:c>
      <x:c r="H80" s="7" t="str">
        <x:v>配料估算</x:v>
      </x:c>
      <x:c r="I80" s="7" t="str"/>
      <x:c r="J80" s="12" t="str">
        <x:v>待核实</x:v>
      </x:c>
      <x:c r="K80" s="12" t="str"/>
      <x:c r="L80" s="7" t="str">
        <x:v>https://www.nckfhsm.com/products/mang-mang-nai-lv-50589</x:v>
      </x:c>
      <x:c r="M80" s="7" t="str">
        <x:v>来源仅支持名称/配料，不支持本条整杯数值。假设奶基200ml×60kcal/100ml=120 kcal+芒果/果浆80 kcal+糖25g×4=100 kcal。</x:v>
      </x:c>
      <x:c r="N80" s="7" t="str">
        <x:v>待核对中国大陆门店是否常售，以及本杯容量、糖度、冰量和自带料；不能按整杯热量直接乘糖度比例。</x:v>
      </x:c>
      <x:c r="O80" s="7" t="str">
        <x:v>2026-10-04</x:v>
      </x:c>
    </x:row>
    <x:row r="81" ht="46" customHeight="1">
      <x:c r="A81" s="9" t="str">
        <x:v>D080</x:v>
      </x:c>
      <x:c r="B81" s="9" t="str">
        <x:v>茶百道</x:v>
      </x:c>
      <x:c r="C81" s="9" t="str">
        <x:v>生椰拿铁</x:v>
      </x:c>
      <x:c r="D81" s="9" t="str">
        <x:v>475~520 ml（页面杯型范围，未映射到热量配置）</x:v>
      </x:c>
      <x:c r="E81" s="9" t="str">
        <x:v>未注明（估算按常规有糖配方，糖量为假设）</x:v>
      </x:c>
      <x:c r="F81" s="11" t="n">
        <x:v>280</x:v>
      </x:c>
      <x:c r="G81" s="9" t="str">
        <x:v>180–400</x:v>
      </x:c>
      <x:c r="H81" s="9" t="str">
        <x:v>配料估算</x:v>
      </x:c>
      <x:c r="I81" s="9" t="str"/>
      <x:c r="J81" s="12" t="str">
        <x:v>待核实</x:v>
      </x:c>
      <x:c r="K81" s="12" t="str"/>
      <x:c r="L81" s="9" t="str">
        <x:v>https://www.nckfhsm.com/products/sheng-ye-na-tie-oUT1krbK</x:v>
      </x:c>
      <x:c r="M81" s="9" t="str">
        <x:v>来源仅支持名称/配料，不支持本条整杯数值。假设调制椰乳约200 kcal+额外糖/奶约75 kcal+咖啡5 kcal；椰乳份量和含糖量未知。</x:v>
      </x:c>
      <x:c r="N81" s="9" t="str">
        <x:v>待核对中国大陆门店是否常售，以及本杯容量、糖度、冰量和自带料；不能按整杯热量直接乘糖度比例。</x:v>
      </x:c>
      <x:c r="O81" s="9" t="str">
        <x:v>2026-10-04</x:v>
      </x:c>
    </x:row>
    <x:row r="82" ht="63" customHeight="1">
      <x:c r="A82" s="7" t="str">
        <x:v>D081</x:v>
      </x:c>
      <x:c r="B82" s="7" t="str">
        <x:v>爷爷不泡茶</x:v>
      </x:c>
      <x:c r="C82" s="7" t="str">
        <x:v>白兰玉露</x:v>
      </x:c>
      <x:c r="D82" s="7" t="str">
        <x:v>未注明</x:v>
      </x:c>
      <x:c r="E82" s="7" t="str">
        <x:v>未注明（估算暂按常规有糖，不是无糖配置）</x:v>
      </x:c>
      <x:c r="F82" s="10" t="n">
        <x:v>260</x:v>
      </x:c>
      <x:c r="G82" s="7" t="str">
        <x:v>170–390</x:v>
      </x:c>
      <x:c r="H82" s="7" t="str">
        <x:v>配料估算</x:v>
      </x:c>
      <x:c r="I82" s="7" t="str">
        <x:v>未见自带固体小料</x:v>
      </x:c>
      <x:c r="J82" s="12" t="str">
        <x:v>待核实</x:v>
      </x:c>
      <x:c r="K82" s="12" t="str"/>
      <x:c r="L82" s="7" t="str">
        <x:v>https://www.yeyebpc.com/products/series/</x:v>
      </x:c>
      <x:c r="M82" s="7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82" s="7" t="str">
        <x:v>待用户核实在售状态、当地名称、杯容量、默认糖度、默认小料及份量。所有克数/毫升假设均不是已核实品牌配方；范围为估算包络，不是实测置信区间。</x:v>
      </x:c>
      <x:c r="O82" s="7" t="str">
        <x:v>2026-10-04</x:v>
      </x:c>
    </x:row>
    <x:row r="83" ht="63" customHeight="1">
      <x:c r="A83" s="9" t="str">
        <x:v>D082</x:v>
      </x:c>
      <x:c r="B83" s="9" t="str">
        <x:v>爷爷不泡茶</x:v>
      </x:c>
      <x:c r="C83" s="9" t="str">
        <x:v>武汉茉莉</x:v>
      </x:c>
      <x:c r="D83" s="9" t="str">
        <x:v>未注明</x:v>
      </x:c>
      <x:c r="E83" s="9" t="str">
        <x:v>未注明（估算暂按常规有糖，不是无糖配置）</x:v>
      </x:c>
      <x:c r="F83" s="11" t="n">
        <x:v>260</x:v>
      </x:c>
      <x:c r="G83" s="9" t="str">
        <x:v>170–390</x:v>
      </x:c>
      <x:c r="H83" s="9" t="str">
        <x:v>配料估算</x:v>
      </x:c>
      <x:c r="I83" s="9" t="str">
        <x:v>未见自带固体小料</x:v>
      </x:c>
      <x:c r="J83" s="12" t="str">
        <x:v>待核实</x:v>
      </x:c>
      <x:c r="K83" s="12" t="str"/>
      <x:c r="L83" s="9" t="str">
        <x:v>https://www.yeyebpc.com/products/series/</x:v>
      </x:c>
      <x:c r="M83" s="9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83" s="9" t="str">
        <x:v>待用户核实在售状态、当地名称、杯容量、默认糖度、默认小料及份量。所有克数/毫升假设均不是已核实品牌配方；范围为估算包络，不是实测置信区间。</x:v>
      </x:c>
      <x:c r="O83" s="9" t="str">
        <x:v>2026-10-04</x:v>
      </x:c>
    </x:row>
    <x:row r="84" ht="63" customHeight="1">
      <x:c r="A84" s="7" t="str">
        <x:v>D083</x:v>
      </x:c>
      <x:c r="B84" s="7" t="str">
        <x:v>爷爷不泡茶</x:v>
      </x:c>
      <x:c r="C84" s="7" t="str">
        <x:v>咸宁桂花</x:v>
      </x:c>
      <x:c r="D84" s="7" t="str">
        <x:v>未注明</x:v>
      </x:c>
      <x:c r="E84" s="7" t="str">
        <x:v>未注明（估算暂按常规有糖，不是无糖配置）</x:v>
      </x:c>
      <x:c r="F84" s="10" t="n">
        <x:v>260</x:v>
      </x:c>
      <x:c r="G84" s="7" t="str">
        <x:v>170–390</x:v>
      </x:c>
      <x:c r="H84" s="7" t="str">
        <x:v>配料估算</x:v>
      </x:c>
      <x:c r="I84" s="7" t="str">
        <x:v>未见自带固体小料</x:v>
      </x:c>
      <x:c r="J84" s="12" t="str">
        <x:v>待核实</x:v>
      </x:c>
      <x:c r="K84" s="12" t="str"/>
      <x:c r="L84" s="7" t="str">
        <x:v>https://www.yeyebpc.com/products/series/</x:v>
      </x:c>
      <x:c r="M84" s="7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84" s="7" t="str">
        <x:v>待用户核实在售状态、当地名称、杯容量、默认糖度、默认小料及份量。所有克数/毫升假设均不是已核实品牌配方；范围为估算包络，不是实测置信区间。</x:v>
      </x:c>
      <x:c r="O84" s="7" t="str">
        <x:v>2026-10-04</x:v>
      </x:c>
    </x:row>
    <x:row r="85" ht="63" customHeight="1">
      <x:c r="A85" s="9" t="str">
        <x:v>D084</x:v>
      </x:c>
      <x:c r="B85" s="9" t="str">
        <x:v>爷爷不泡茶</x:v>
      </x:c>
      <x:c r="C85" s="9" t="str">
        <x:v>空山栀子</x:v>
      </x:c>
      <x:c r="D85" s="9" t="str">
        <x:v>未注明</x:v>
      </x:c>
      <x:c r="E85" s="9" t="str">
        <x:v>未注明（估算暂按常规有糖，不是无糖配置）</x:v>
      </x:c>
      <x:c r="F85" s="11" t="n">
        <x:v>260</x:v>
      </x:c>
      <x:c r="G85" s="9" t="str">
        <x:v>170–390</x:v>
      </x:c>
      <x:c r="H85" s="9" t="str">
        <x:v>配料估算</x:v>
      </x:c>
      <x:c r="I85" s="9" t="str">
        <x:v>未见自带固体小料</x:v>
      </x:c>
      <x:c r="J85" s="12" t="str">
        <x:v>待核实</x:v>
      </x:c>
      <x:c r="K85" s="12" t="str"/>
      <x:c r="L85" s="9" t="str">
        <x:v>https://www.yeyebpc.com/products/series/</x:v>
      </x:c>
      <x:c r="M85" s="9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85" s="9" t="str">
        <x:v>待用户核实在售状态、当地名称、杯容量、默认糖度、默认小料及份量。所有克数/毫升假设均不是已核实品牌配方；范围为估算包络，不是实测置信区间。</x:v>
      </x:c>
      <x:c r="O85" s="9" t="str">
        <x:v>2026-10-04</x:v>
      </x:c>
    </x:row>
    <x:row r="86" ht="63" customHeight="1">
      <x:c r="A86" s="7" t="str">
        <x:v>D085</x:v>
      </x:c>
      <x:c r="B86" s="7" t="str">
        <x:v>爷爷不泡茶</x:v>
      </x:c>
      <x:c r="C86" s="7" t="str">
        <x:v>荔枝冰酿</x:v>
      </x:c>
      <x:c r="D86" s="7" t="str">
        <x:v>未注明</x:v>
      </x:c>
      <x:c r="E86" s="7" t="str">
        <x:v>未注明（估算暂按常规有糖，不是无糖配置）</x:v>
      </x:c>
      <x:c r="F86" s="10" t="n">
        <x:v>290</x:v>
      </x:c>
      <x:c r="G86" s="7" t="str">
        <x:v>180–440</x:v>
      </x:c>
      <x:c r="H86" s="7" t="str">
        <x:v>配料估算</x:v>
      </x:c>
      <x:c r="I86" s="7" t="str">
        <x:v>米酿；估算需加约50–100kcal，见专用注释</x:v>
      </x:c>
      <x:c r="J86" s="12" t="str">
        <x:v>待核实</x:v>
      </x:c>
      <x:c r="K86" s="12" t="str"/>
      <x:c r="L86" s="7" t="str">
        <x:v>https://www.yeyebpc.com/products/series/</x:v>
      </x:c>
      <x:c r="M86" s="7" t="str">
        <x:v>来源仅证明菜单/部分配料，不证明下列热量。假设荔枝果汁/果肉约90–140kcal+米酿60–100g约50–100kcal+糖约40–120kcal；米酿份量及糖度未公开。</x:v>
      </x:c>
      <x:c r="N86" s="7" t="str">
        <x:v>待用户核实在售状态、当地名称、杯容量、默认糖度、默认小料及份量。所有克数/毫升假设均不是已核实品牌配方；范围为估算包络，不是实测置信区间。</x:v>
      </x:c>
      <x:c r="O86" s="7" t="str">
        <x:v>2026-10-04</x:v>
      </x:c>
    </x:row>
    <x:row r="87" ht="46" customHeight="1">
      <x:c r="A87" s="9" t="str">
        <x:v>D086</x:v>
      </x:c>
      <x:c r="B87" s="9" t="str">
        <x:v>爷爷不泡茶</x:v>
      </x:c>
      <x:c r="C87" s="9" t="str">
        <x:v>奶油米酒</x:v>
      </x:c>
      <x:c r="D87" s="9" t="str">
        <x:v>未注明</x:v>
      </x:c>
      <x:c r="E87" s="9" t="str">
        <x:v>未注明（估算暂按常规有糖，不是无糖配置）</x:v>
      </x:c>
      <x:c r="F87" s="11" t="n">
        <x:v>420</x:v>
      </x:c>
      <x:c r="G87" s="9" t="str">
        <x:v>280–610</x:v>
      </x:c>
      <x:c r="H87" s="9" t="str">
        <x:v>配料估算</x:v>
      </x:c>
      <x:c r="I87" s="9" t="str">
        <x:v>双皮奶、米酿（已纳入专用估算）</x:v>
      </x:c>
      <x:c r="J87" s="12" t="str">
        <x:v>待核实</x:v>
      </x:c>
      <x:c r="K87" s="12" t="str"/>
      <x:c r="L87" s="9" t="str">
        <x:v>https://www.yeyebpc.com/products/series/</x:v>
      </x:c>
      <x:c r="M87" s="9" t="str">
        <x:v>来源仅证明菜单/部分配料，不证明下列热量。假设牛乳约150–200kcal+米酿约60–110kcal+双皮奶约80–150kcal+糖约0–80kcal。</x:v>
      </x:c>
      <x:c r="N87" s="9" t="str">
        <x:v>待用户核实在售状态、当地名称、杯容量、默认糖度、默认小料及份量。所有克数/毫升假设均不是已核实品牌配方；范围为估算包络，不是实测置信区间。</x:v>
      </x:c>
      <x:c r="O87" s="9" t="str">
        <x:v>2026-10-04</x:v>
      </x:c>
    </x:row>
    <x:row r="88" ht="46" customHeight="1">
      <x:c r="A88" s="7" t="str">
        <x:v>D087</x:v>
      </x:c>
      <x:c r="B88" s="7" t="str">
        <x:v>爷爷不泡茶</x:v>
      </x:c>
      <x:c r="C88" s="7" t="str">
        <x:v>兰香青柠</x:v>
      </x:c>
      <x:c r="D88" s="7" t="str">
        <x:v>未注明</x:v>
      </x:c>
      <x:c r="E88" s="7" t="str">
        <x:v>未注明（估算暂按常规有糖，不是无糖配置）</x:v>
      </x:c>
      <x:c r="F88" s="10" t="n">
        <x:v>400</x:v>
      </x:c>
      <x:c r="G88" s="7" t="str">
        <x:v>290–570</x:v>
      </x:c>
      <x:c r="H88" s="7" t="str">
        <x:v>配料估算</x:v>
      </x:c>
      <x:c r="I88" s="7" t="str">
        <x:v>青柠干酪奶盖</x:v>
      </x:c>
      <x:c r="J88" s="12" t="str">
        <x:v>待核实</x:v>
      </x:c>
      <x:c r="K88" s="12" t="str"/>
      <x:c r="L88" s="7" t="str">
        <x:v>https://www.yeyebpc.com/products/series/</x:v>
      </x:c>
      <x:c r="M88" s="7" t="str">
        <x:v>来源仅证明菜单/部分配料，不证明下列热量。假设乳茶约220–320kcal+奶油/乳酪顶约100–180kcal；默认顶料已算入。份量为研究假设。</x:v>
      </x:c>
      <x:c r="N88" s="7" t="str">
        <x:v>待用户核实在售状态、当地名称、杯容量、默认糖度、默认小料及份量。所有克数/毫升假设均不是已核实品牌配方；范围为估算包络，不是实测置信区间。</x:v>
      </x:c>
      <x:c r="O88" s="7" t="str">
        <x:v>2026-10-04</x:v>
      </x:c>
    </x:row>
    <x:row r="89" ht="63" customHeight="1">
      <x:c r="A89" s="9" t="str">
        <x:v>D088</x:v>
      </x:c>
      <x:c r="B89" s="9" t="str">
        <x:v>爷爷不泡茶</x:v>
      </x:c>
      <x:c r="C89" s="9" t="str">
        <x:v>西瓜马蹄椰</x:v>
      </x:c>
      <x:c r="D89" s="9" t="str">
        <x:v>未注明</x:v>
      </x:c>
      <x:c r="E89" s="9" t="str">
        <x:v>未注明（估算暂按常规有糖，不是无糖配置）</x:v>
      </x:c>
      <x:c r="F89" s="11" t="n">
        <x:v>320</x:v>
      </x:c>
      <x:c r="G89" s="9" t="str">
        <x:v>200–490</x:v>
      </x:c>
      <x:c r="H89" s="9" t="str">
        <x:v>配料估算</x:v>
      </x:c>
      <x:c r="I89" s="9" t="str">
        <x:v>马蹄丸；估算按椰乳果茶模型，非芒果配方</x:v>
      </x:c>
      <x:c r="J89" s="12" t="str">
        <x:v>待核实</x:v>
      </x:c>
      <x:c r="K89" s="12" t="str"/>
      <x:c r="L89" s="9" t="str">
        <x:v>https://www.yeyebpc.com/products/series/</x:v>
      </x:c>
      <x:c r="M89" s="9" t="str">
        <x:v>来源仅证明菜单/部分配料，不证明下列热量。假设西瓜100–200g约30–60kcal+椰乳约100–180kcal+马蹄丸约60–120kcal+糖约40–100kcal。</x:v>
      </x:c>
      <x:c r="N89" s="9" t="str">
        <x:v>待用户核实在售状态、当地名称、杯容量、默认糖度、默认小料及份量。所有克数/毫升假设均不是已核实品牌配方；范围为估算包络，不是实测置信区间。</x:v>
      </x:c>
      <x:c r="O89" s="9" t="str">
        <x:v>2026-10-04</x:v>
      </x:c>
    </x:row>
    <x:row r="90" ht="63" customHeight="1">
      <x:c r="A90" s="7" t="str">
        <x:v>D089</x:v>
      </x:c>
      <x:c r="B90" s="7" t="str">
        <x:v>益禾堂</x:v>
      </x:c>
      <x:c r="C90" s="7" t="str">
        <x:v>益禾烤奶（首创）</x:v>
      </x:c>
      <x:c r="D90" s="7" t="str">
        <x:v>大杯冰饮，容量未注明</x:v>
      </x:c>
      <x:c r="E90" s="7" t="str">
        <x:v>未注明（估算暂按常规有糖，不是无糖配置）</x:v>
      </x:c>
      <x:c r="F90" s="10" t="n">
        <x:v>260</x:v>
      </x:c>
      <x:c r="G90" s="7" t="str">
        <x:v>170–390</x:v>
      </x:c>
      <x:c r="H90" s="7" t="str">
        <x:v>配料估算</x:v>
      </x:c>
      <x:c r="I90" s="7" t="str">
        <x:v>默认不加可选小料；焦糖糖浆计入</x:v>
      </x:c>
      <x:c r="J90" s="12" t="str">
        <x:v>待核实</x:v>
      </x:c>
      <x:c r="K90" s="12" t="str"/>
      <x:c r="L90" s="7" t="str">
        <x:v>https://www.nckfhsm.com/zh-tw/products/yi-he-kao-nai</x:v>
      </x:c>
      <x:c r="M90" s="7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90" s="7" t="str">
        <x:v>待用户核实在售状态、当地名称、杯容量、默认糖度、默认小料及份量。所有克数/毫升假设均不是已核实品牌配方；范围为估算包络，不是实测置信区间。</x:v>
      </x:c>
      <x:c r="O90" s="7" t="str">
        <x:v>2026-10-04</x:v>
      </x:c>
    </x:row>
    <x:row r="91" ht="63" customHeight="1">
      <x:c r="A91" s="9" t="str">
        <x:v>D090</x:v>
      </x:c>
      <x:c r="B91" s="9" t="str">
        <x:v>益禾堂</x:v>
      </x:c>
      <x:c r="C91" s="9" t="str">
        <x:v>珍珠奶茶</x:v>
      </x:c>
      <x:c r="D91" s="9" t="str">
        <x:v>未注明</x:v>
      </x:c>
      <x:c r="E91" s="9" t="str">
        <x:v>未注明（估算暂按常规有糖，不是无糖配置）</x:v>
      </x:c>
      <x:c r="F91" s="11" t="n">
        <x:v>380</x:v>
      </x:c>
      <x:c r="G91" s="9" t="str">
        <x:v>280–520</x:v>
      </x:c>
      <x:c r="H91" s="9" t="str">
        <x:v>配料估算</x:v>
      </x:c>
      <x:c r="I91" s="9" t="str">
        <x:v>珍珠（按名称推定，份量待核实）</x:v>
      </x:c>
      <x:c r="J91" s="12" t="str">
        <x:v>待核实</x:v>
      </x:c>
      <x:c r="K91" s="12" t="str"/>
      <x:c r="L91" s="9" t="str">
        <x:v>https://www.nckfhsm.com/zh-tw/brands/yi-he-tang/menu/available</x:v>
      </x:c>
      <x:c r="M91" s="9" t="str">
        <x:v>来源仅证明菜单/部分配料，不证明下列热量。假设奶茶基底约230–320kcal+熟珍珠50–70g约80–150kcal；包含默认珍珠，不另加一次。份量为研究假设。</x:v>
      </x:c>
      <x:c r="N91" s="9" t="str">
        <x:v>待用户核实在售状态、当地名称、杯容量、默认糖度、默认小料及份量。所有克数/毫升假设均不是已核实品牌配方；范围为估算包络，不是实测置信区间。</x:v>
      </x:c>
      <x:c r="O91" s="9" t="str">
        <x:v>2026-10-04</x:v>
      </x:c>
    </x:row>
    <x:row r="92" ht="63" customHeight="1">
      <x:c r="A92" s="7" t="str">
        <x:v>D091</x:v>
      </x:c>
      <x:c r="B92" s="7" t="str">
        <x:v>益禾堂</x:v>
      </x:c>
      <x:c r="C92" s="7" t="str">
        <x:v>杨枝甘露</x:v>
      </x:c>
      <x:c r="D92" s="7" t="str">
        <x:v>未注明</x:v>
      </x:c>
      <x:c r="E92" s="7" t="str">
        <x:v>未注明（估算暂按常规有糖，不是无糖配置）</x:v>
      </x:c>
      <x:c r="F92" s="10" t="n">
        <x:v>350</x:v>
      </x:c>
      <x:c r="G92" s="7" t="str">
        <x:v>240–500</x:v>
      </x:c>
      <x:c r="H92" s="7" t="str">
        <x:v>配料估算</x:v>
      </x:c>
      <x:c r="I92" s="7" t="str">
        <x:v>西米/啵啵（类别推定，具体默认料待核实）</x:v>
      </x:c>
      <x:c r="J92" s="12" t="str">
        <x:v>待核实</x:v>
      </x:c>
      <x:c r="K92" s="12" t="str"/>
      <x:c r="L92" s="7" t="str">
        <x:v>https://www.nckfhsm.com/zh-tw/brands/yi-he-tang/menu/available</x:v>
      </x:c>
      <x:c r="M92" s="7" t="str">
        <x:v>来源仅证明菜单/部分配料，不证明下列热量。假设芒果100–150g约60–100kcal+椰乳/乳基底约100–180kcal+西米/啵啵约50–100kcal+添加糖约40–100kcal；自带小料已算入。</x:v>
      </x:c>
      <x:c r="N92" s="7" t="str">
        <x:v>待用户核实在售状态、当地名称、杯容量、默认糖度、默认小料及份量。所有克数/毫升假设均不是已核实品牌配方；范围为估算包络，不是实测置信区间。</x:v>
      </x:c>
      <x:c r="O92" s="7" t="str">
        <x:v>2026-10-04</x:v>
      </x:c>
    </x:row>
    <x:row r="93" ht="46" customHeight="1">
      <x:c r="A93" s="9" t="str">
        <x:v>D092</x:v>
      </x:c>
      <x:c r="B93" s="9" t="str">
        <x:v>益禾堂</x:v>
      </x:c>
      <x:c r="C93" s="9" t="str">
        <x:v>芭乐柠檬冰茶</x:v>
      </x:c>
      <x:c r="D93" s="9" t="str">
        <x:v>未注明</x:v>
      </x:c>
      <x:c r="E93" s="9" t="str">
        <x:v>未注明（估算暂按常规有糖，不是无糖配置）</x:v>
      </x:c>
      <x:c r="F93" s="11" t="n">
        <x:v>210</x:v>
      </x:c>
      <x:c r="G93" s="9" t="str">
        <x:v>120–340</x:v>
      </x:c>
      <x:c r="H93" s="9" t="str">
        <x:v>配料估算</x:v>
      </x:c>
      <x:c r="I93" s="9" t="str">
        <x:v>芭乐果肉/果汁（份量待核实）</x:v>
      </x:c>
      <x:c r="J93" s="12" t="str">
        <x:v>待核实</x:v>
      </x:c>
      <x:c r="K93" s="12" t="str"/>
      <x:c r="L93" s="9" t="str">
        <x:v>https://www.nckfhsm.com/zh-tw/brands/yi-he-tang/menu/available</x:v>
      </x:c>
      <x:c r="M93" s="9" t="str">
        <x:v>来源仅证明菜单/部分配料，不证明下列热量。假设果汁/果肉约80–160kcal+添加糖15–30g约60–120kcal；不按杯容量全部视为果汁。份量为研究假设。</x:v>
      </x:c>
      <x:c r="N93" s="9" t="str">
        <x:v>待用户核实在售状态、当地名称、杯容量、默认糖度、默认小料及份量。所有克数/毫升假设均不是已核实品牌配方；范围为估算包络，不是实测置信区间。</x:v>
      </x:c>
      <x:c r="O93" s="9" t="str">
        <x:v>2026-10-04</x:v>
      </x:c>
    </x:row>
    <x:row r="94" ht="46" customHeight="1">
      <x:c r="A94" s="7" t="str">
        <x:v>D093</x:v>
      </x:c>
      <x:c r="B94" s="7" t="str">
        <x:v>益禾堂</x:v>
      </x:c>
      <x:c r="C94" s="7" t="str">
        <x:v>奶油粉芭乐</x:v>
      </x:c>
      <x:c r="D94" s="7" t="str">
        <x:v>未注明</x:v>
      </x:c>
      <x:c r="E94" s="7" t="str">
        <x:v>未注明（估算暂按常规有糖，不是无糖配置）</x:v>
      </x:c>
      <x:c r="F94" s="10" t="n">
        <x:v>380</x:v>
      </x:c>
      <x:c r="G94" s="7" t="str">
        <x:v>270–560</x:v>
      </x:c>
      <x:c r="H94" s="7" t="str">
        <x:v>配料估算</x:v>
      </x:c>
      <x:c r="I94" s="7" t="str">
        <x:v>奶油顶（按名称推定）</x:v>
      </x:c>
      <x:c r="J94" s="12" t="str">
        <x:v>待核实</x:v>
      </x:c>
      <x:c r="K94" s="12" t="str"/>
      <x:c r="L94" s="7" t="str">
        <x:v>https://www.nckfhsm.com/zh-tw/brands/yi-he-tang/menu/available</x:v>
      </x:c>
      <x:c r="M94" s="7" t="str">
        <x:v>来源仅证明菜单/部分配料，不证明下列热量。假设果茶约180–280kcal+奶盖30–50g约100–180kcal；奶盖已算入。份量为研究假设。</x:v>
      </x:c>
      <x:c r="N94" s="7" t="str">
        <x:v>待用户核实在售状态、当地名称、杯容量、默认糖度、默认小料及份量。所有克数/毫升假设均不是已核实品牌配方；范围为估算包络，不是实测置信区间。</x:v>
      </x:c>
      <x:c r="O94" s="7" t="str">
        <x:v>2026-10-04</x:v>
      </x:c>
    </x:row>
    <x:row r="95" ht="46" customHeight="1">
      <x:c r="A95" s="9" t="str">
        <x:v>D094</x:v>
      </x:c>
      <x:c r="B95" s="9" t="str">
        <x:v>益禾堂</x:v>
      </x:c>
      <x:c r="C95" s="9" t="str">
        <x:v>粉芭乐香柠拿铁</x:v>
      </x:c>
      <x:c r="D95" s="9" t="str">
        <x:v>未注明</x:v>
      </x:c>
      <x:c r="E95" s="9" t="str">
        <x:v>未注明（估算暂按常规有糖，不是无糖配置）</x:v>
      </x:c>
      <x:c r="F95" s="11" t="n">
        <x:v>320</x:v>
      </x:c>
      <x:c r="G95" s="9" t="str">
        <x:v>210–470</x:v>
      </x:c>
      <x:c r="H95" s="9" t="str">
        <x:v>配料估算</x:v>
      </x:c>
      <x:c r="I95" s="9" t="str">
        <x:v>芭乐汁另预留约40–80kcal，见专用注释</x:v>
      </x:c>
      <x:c r="J95" s="12" t="str">
        <x:v>待核实</x:v>
      </x:c>
      <x:c r="K95" s="12" t="str"/>
      <x:c r="L95" s="9" t="str">
        <x:v>https://www.nckfhsm.com/zh-tw/brands/yi-he-tang/menu/available</x:v>
      </x:c>
      <x:c r="M95" s="9" t="str">
        <x:v>来源仅证明菜单/部分配料，不证明下列热量。假设乳茶约230–300kcal+芭乐汁/果肉约40–80kcal，无法确认是否咖啡拿铁；先按含乳果茶估算。</x:v>
      </x:c>
      <x:c r="N95" s="9" t="str">
        <x:v>待用户核实在售状态、当地名称、杯容量、默认糖度、默认小料及份量。所有克数/毫升假设均不是已核实品牌配方；范围为估算包络，不是实测置信区间。</x:v>
      </x:c>
      <x:c r="O95" s="9" t="str">
        <x:v>2026-10-04</x:v>
      </x:c>
    </x:row>
    <x:row r="96" ht="46" customHeight="1">
      <x:c r="A96" s="7" t="str">
        <x:v>D095</x:v>
      </x:c>
      <x:c r="B96" s="7" t="str">
        <x:v>益禾堂</x:v>
      </x:c>
      <x:c r="C96" s="7" t="str">
        <x:v>老盐爆汁西瓜</x:v>
      </x:c>
      <x:c r="D96" s="7" t="str">
        <x:v>未注明</x:v>
      </x:c>
      <x:c r="E96" s="7" t="str">
        <x:v>未注明（估算暂按常规有糖，不是无糖配置）</x:v>
      </x:c>
      <x:c r="F96" s="10" t="n">
        <x:v>210</x:v>
      </x:c>
      <x:c r="G96" s="7" t="str">
        <x:v>120–340</x:v>
      </x:c>
      <x:c r="H96" s="7" t="str">
        <x:v>配料估算</x:v>
      </x:c>
      <x:c r="I96" s="7" t="str">
        <x:v>西瓜果肉/果汁</x:v>
      </x:c>
      <x:c r="J96" s="12" t="str">
        <x:v>待核实</x:v>
      </x:c>
      <x:c r="K96" s="12" t="str"/>
      <x:c r="L96" s="7" t="str">
        <x:v>https://www.nckfhsm.com/zh-tw/brands/yi-he-tang/menu/available</x:v>
      </x:c>
      <x:c r="M96" s="7" t="str">
        <x:v>来源仅证明菜单/部分配料，不证明下列热量。假设果汁/果肉约80–160kcal+添加糖15–30g约60–120kcal；不按杯容量全部视为果汁。份量为研究假设。</x:v>
      </x:c>
      <x:c r="N96" s="7" t="str">
        <x:v>待用户核实在售状态、当地名称、杯容量、默认糖度、默认小料及份量。所有克数/毫升假设均不是已核实品牌配方；范围为估算包络，不是实测置信区间。</x:v>
      </x:c>
      <x:c r="O96" s="7" t="str">
        <x:v>2026-10-04</x:v>
      </x:c>
    </x:row>
    <x:row r="97" ht="46" customHeight="1">
      <x:c r="A97" s="9" t="str">
        <x:v>D096</x:v>
      </x:c>
      <x:c r="B97" s="9" t="str">
        <x:v>益禾堂</x:v>
      </x:c>
      <x:c r="C97" s="9" t="str">
        <x:v>香柠红茶霸王桶</x:v>
      </x:c>
      <x:c r="D97" s="9" t="str">
        <x:v>未注明（桶装）</x:v>
      </x:c>
      <x:c r="E97" s="9" t="str">
        <x:v>未注明（估算暂按常规有糖，不是无糖配置）</x:v>
      </x:c>
      <x:c r="F97" s="11" t="n">
        <x:v>260</x:v>
      </x:c>
      <x:c r="G97" s="9" t="str">
        <x:v>150–420</x:v>
      </x:c>
      <x:c r="H97" s="9" t="str">
        <x:v>配料估算</x:v>
      </x:c>
      <x:c r="I97" s="9" t="str">
        <x:v>未确认固体小料；桶容量待核实，见专用注释</x:v>
      </x:c>
      <x:c r="J97" s="12" t="str">
        <x:v>待核实</x:v>
      </x:c>
      <x:c r="K97" s="12" t="str"/>
      <x:c r="L97" s="9" t="str">
        <x:v>https://www.nckfhsm.com/zh-tw/brands/yi-he-tang/menu/available</x:v>
      </x:c>
      <x:c r="M97" s="9" t="str">
        <x:v>来源仅证明菜单/部分配料，不证明下列热量。菜单未注明容量；暂设约1L桶装，添加糖40–70g约160–280kcal+柠檬约20–50kcal，杯容量需优先核对。</x:v>
      </x:c>
      <x:c r="N97" s="9" t="str">
        <x:v>待用户核实在售状态、当地名称、杯容量、默认糖度、默认小料及份量。所有克数/毫升假设均不是已核实品牌配方；范围为估算包络，不是实测置信区间。</x:v>
      </x:c>
      <x:c r="O97" s="9" t="str">
        <x:v>2026-10-04</x:v>
      </x:c>
    </x:row>
    <x:row r="98" ht="80" customHeight="1">
      <x:c r="A98" s="7" t="str">
        <x:v>D097</x:v>
      </x:c>
      <x:c r="B98" s="7" t="str">
        <x:v>书亦烧仙草</x:v>
      </x:c>
      <x:c r="C98" s="7" t="str">
        <x:v>书亦烧仙草</x:v>
      </x:c>
      <x:c r="D98" s="7" t="str">
        <x:v>中杯500ml</x:v>
      </x:c>
      <x:c r="E98" s="7" t="str">
        <x:v>未注明（估算暂按常规有糖，不是无糖配置）</x:v>
      </x:c>
      <x:c r="F98" s="10" t="n">
        <x:v>450</x:v>
      </x:c>
      <x:c r="G98" s="7" t="str">
        <x:v>300–650</x:v>
      </x:c>
      <x:c r="H98" s="7" t="str">
        <x:v>配料估算</x:v>
      </x:c>
      <x:c r="I98" s="7" t="str">
        <x:v>仙草冻、红豆、椰果、花生、葡萄干、红糖珍珠；见专用模型</x:v>
      </x:c>
      <x:c r="J98" s="12" t="str">
        <x:v>待核实</x:v>
      </x:c>
      <x:c r="K98" s="12" t="str"/>
      <x:c r="L98" s="7" t="str">
        <x:v>https://www.nckfhsm.com/products/shu-yi-shao-xian-cao</x:v>
      </x:c>
      <x:c r="M98" s="7" t="str">
        <x:v>来源仅证明菜单/部分配料，不证明下列热量。假设轻牛乳茶约180–260kcal+珍珠30g约50–70kcal+红豆30g约40–60kcal+椰果30g约15–35kcal+花生8g约45kcal+葡萄干8g约25kcal+仙草50g约10–30kcal；各份量全为假设。</x:v>
      </x:c>
      <x:c r="N98" s="7" t="str">
        <x:v>待用户核实在售状态、当地名称、杯容量、默认糖度、默认小料及份量。所有克数/毫升假设均不是已核实品牌配方；范围为估算包络，不是实测置信区间。</x:v>
      </x:c>
      <x:c r="O98" s="7" t="str">
        <x:v>2026-10-04</x:v>
      </x:c>
    </x:row>
    <x:row r="99" ht="63" customHeight="1">
      <x:c r="A99" s="9" t="str">
        <x:v>D098</x:v>
      </x:c>
      <x:c r="B99" s="9" t="str">
        <x:v>书亦烧仙草</x:v>
      </x:c>
      <x:c r="C99" s="9" t="str">
        <x:v>仙草珍珠奶茶</x:v>
      </x:c>
      <x:c r="D99" s="9" t="str">
        <x:v>500ml</x:v>
      </x:c>
      <x:c r="E99" s="9" t="str">
        <x:v>未注明（估算暂按常规有糖，不是无糖配置）</x:v>
      </x:c>
      <x:c r="F99" s="11" t="n">
        <x:v>380</x:v>
      </x:c>
      <x:c r="G99" s="9" t="str">
        <x:v>280–520</x:v>
      </x:c>
      <x:c r="H99" s="9" t="str">
        <x:v>配料估算</x:v>
      </x:c>
      <x:c r="I99" s="9" t="str">
        <x:v>仙草、珍珠（按名称推定）</x:v>
      </x:c>
      <x:c r="J99" s="12" t="str">
        <x:v>待核实</x:v>
      </x:c>
      <x:c r="K99" s="12" t="str"/>
      <x:c r="L99" s="9" t="str">
        <x:v>https://www.nckfhsm.com/brands/shu-yi-shao-xian-cao/menu/available</x:v>
      </x:c>
      <x:c r="M99" s="9" t="str">
        <x:v>来源仅证明菜单/部分配料，不证明下列热量。假设奶茶基底约230–320kcal+熟珍珠50–70g约80–150kcal；包含默认珍珠，不另加一次。份量为研究假设。</x:v>
      </x:c>
      <x:c r="N99" s="9" t="str">
        <x:v>待用户核实在售状态、当地名称、杯容量、默认糖度、默认小料及份量。所有克数/毫升假设均不是已核实品牌配方；范围为估算包络，不是实测置信区间。</x:v>
      </x:c>
      <x:c r="O99" s="9" t="str">
        <x:v>2026-10-04</x:v>
      </x:c>
    </x:row>
    <x:row r="100" ht="63" customHeight="1">
      <x:c r="A100" s="7" t="str">
        <x:v>D099</x:v>
      </x:c>
      <x:c r="B100" s="7" t="str">
        <x:v>书亦烧仙草</x:v>
      </x:c>
      <x:c r="C100" s="7" t="str">
        <x:v>一桶水果茶</x:v>
      </x:c>
      <x:c r="D100" s="7" t="str">
        <x:v>900ml</x:v>
      </x:c>
      <x:c r="E100" s="7" t="str">
        <x:v>未注明（估算暂按常规有糖，不是无糖配置）</x:v>
      </x:c>
      <x:c r="F100" s="10" t="n">
        <x:v>360</x:v>
      </x:c>
      <x:c r="G100" s="7" t="str">
        <x:v>220–560</x:v>
      </x:c>
      <x:c r="H100" s="7" t="str">
        <x:v>配料估算</x:v>
      </x:c>
      <x:c r="I100" s="7" t="str">
        <x:v>水果（具体种类待核实）；见桶装模型</x:v>
      </x:c>
      <x:c r="J100" s="12" t="str">
        <x:v>待核实</x:v>
      </x:c>
      <x:c r="K100" s="12" t="str"/>
      <x:c r="L100" s="7" t="str">
        <x:v>https://www.nckfhsm.com/brands/shu-yi-shao-xian-cao/menu/available</x:v>
      </x:c>
      <x:c r="M100" s="7" t="str">
        <x:v>来源仅证明菜单/部分配料，不证明下列热量。900ml假设果肉/果汁约130–230kcal+添加糖30–60g约120–240kcal；已考虑大杯。</x:v>
      </x:c>
      <x:c r="N100" s="7" t="str">
        <x:v>待用户核实在售状态、当地名称、杯容量、默认糖度、默认小料及份量。所有克数/毫升假设均不是已核实品牌配方；范围为估算包络，不是实测置信区间。</x:v>
      </x:c>
      <x:c r="O100" s="7" t="str">
        <x:v>2026-10-04</x:v>
      </x:c>
    </x:row>
    <x:row r="101" ht="63" customHeight="1">
      <x:c r="A101" s="9" t="str">
        <x:v>D100</x:v>
      </x:c>
      <x:c r="B101" s="9" t="str">
        <x:v>书亦烧仙草</x:v>
      </x:c>
      <x:c r="C101" s="9" t="str">
        <x:v>一桶大爆有料烧仙草</x:v>
      </x:c>
      <x:c r="D101" s="9" t="str">
        <x:v>950ml</x:v>
      </x:c>
      <x:c r="E101" s="9" t="str">
        <x:v>未注明（估算暂按常规有糖，不是无糖配置）</x:v>
      </x:c>
      <x:c r="F101" s="11" t="n">
        <x:v>780</x:v>
      </x:c>
      <x:c r="G101" s="9" t="str">
        <x:v>550–1050</x:v>
      </x:c>
      <x:c r="H101" s="9" t="str">
        <x:v>配料估算</x:v>
      </x:c>
      <x:c r="I101" s="9" t="str">
        <x:v>仙草及多种料（组合待核实）；见桶装模型</x:v>
      </x:c>
      <x:c r="J101" s="12" t="str">
        <x:v>待核实</x:v>
      </x:c>
      <x:c r="K101" s="12" t="str"/>
      <x:c r="L101" s="9" t="str">
        <x:v>https://www.nckfhsm.com/brands/shu-yi-shao-xian-cao/menu/available</x:v>
      </x:c>
      <x:c r="M101" s="9" t="str">
        <x:v>来源仅证明菜单/部分配料，不证明下列热量。950ml假设乳茶约300–420kcal+多种默认小料约250–450kcal，料量不公开，按普通杯约1.7倍量级估算。</x:v>
      </x:c>
      <x:c r="N101" s="9" t="str">
        <x:v>待用户核实在售状态、当地名称、杯容量、默认糖度、默认小料及份量。所有克数/毫升假设均不是已核实品牌配方；范围为估算包络，不是实测置信区间。</x:v>
      </x:c>
      <x:c r="O101" s="9" t="str">
        <x:v>2026-10-04</x:v>
      </x:c>
    </x:row>
    <x:row r="102" ht="63" customHeight="1">
      <x:c r="A102" s="7" t="str">
        <x:v>D101</x:v>
      </x:c>
      <x:c r="B102" s="7" t="str">
        <x:v>书亦烧仙草</x:v>
      </x:c>
      <x:c r="C102" s="7" t="str">
        <x:v>抹茶布蕾蛋糕珍珠</x:v>
      </x:c>
      <x:c r="D102" s="7" t="str">
        <x:v>500ml</x:v>
      </x:c>
      <x:c r="E102" s="7" t="str">
        <x:v>未注明（估算暂按常规有糖，不是无糖配置）</x:v>
      </x:c>
      <x:c r="F102" s="10" t="n">
        <x:v>600</x:v>
      </x:c>
      <x:c r="G102" s="7" t="str">
        <x:v>430–820</x:v>
      </x:c>
      <x:c r="H102" s="7" t="str">
        <x:v>配料估算</x:v>
      </x:c>
      <x:c r="I102" s="7" t="str">
        <x:v>布蕾、蛋糕、珍珠；见专用模型</x:v>
      </x:c>
      <x:c r="J102" s="12" t="str">
        <x:v>待核实</x:v>
      </x:c>
      <x:c r="K102" s="12" t="str"/>
      <x:c r="L102" s="7" t="str">
        <x:v>https://www.nckfhsm.com/brands/shu-yi-shao-xian-cao/menu/available</x:v>
      </x:c>
      <x:c r="M102" s="7" t="str">
        <x:v>来源仅证明菜单/部分配料，不证明下列热量。假设乳茶约200–280kcal+珍珠约80–130kcal+布蕾约80–150kcal+蛋糕/酱约60–130kcal。</x:v>
      </x:c>
      <x:c r="N102" s="7" t="str">
        <x:v>待用户核实在售状态、当地名称、杯容量、默认糖度、默认小料及份量。所有克数/毫升假设均不是已核实品牌配方；范围为估算包络，不是实测置信区间。</x:v>
      </x:c>
      <x:c r="O102" s="7" t="str">
        <x:v>2026-10-04</x:v>
      </x:c>
    </x:row>
    <x:row r="103" ht="63" customHeight="1">
      <x:c r="A103" s="9" t="str">
        <x:v>D102</x:v>
      </x:c>
      <x:c r="B103" s="9" t="str">
        <x:v>书亦烧仙草</x:v>
      </x:c>
      <x:c r="C103" s="9" t="str">
        <x:v>桃桃乌龙奶茶</x:v>
      </x:c>
      <x:c r="D103" s="9" t="str">
        <x:v>未注明</x:v>
      </x:c>
      <x:c r="E103" s="9" t="str">
        <x:v>未注明（估算暂按常规有糖，不是无糖配置）</x:v>
      </x:c>
      <x:c r="F103" s="11" t="n">
        <x:v>300</x:v>
      </x:c>
      <x:c r="G103" s="9" t="str">
        <x:v>190–440</x:v>
      </x:c>
      <x:c r="H103" s="9" t="str">
        <x:v>配料估算</x:v>
      </x:c>
      <x:c r="I103" s="9" t="str">
        <x:v>桃风味/果汁，另预留约30–70kcal</x:v>
      </x:c>
      <x:c r="J103" s="12" t="str">
        <x:v>待核实</x:v>
      </x:c>
      <x:c r="K103" s="12" t="str"/>
      <x:c r="L103" s="9" t="str">
        <x:v>https://www.nckfhsm.com/brands/shu-yi-shao-xian-cao/menu/available</x:v>
      </x:c>
      <x:c r="M103" s="9" t="str">
        <x:v>来源仅证明菜单/部分配料，不证明下列热量。假设乳茶约230–320kcal+桃风味汁/果肉约30–70kcal；份量待核实。</x:v>
      </x:c>
      <x:c r="N103" s="9" t="str">
        <x:v>待用户核实在售状态、当地名称、杯容量、默认糖度、默认小料及份量。所有克数/毫升假设均不是已核实品牌配方；范围为估算包络，不是实测置信区间。</x:v>
      </x:c>
      <x:c r="O103" s="9" t="str">
        <x:v>2026-10-04</x:v>
      </x:c>
    </x:row>
    <x:row r="104" ht="63" customHeight="1">
      <x:c r="A104" s="7" t="str">
        <x:v>D103</x:v>
      </x:c>
      <x:c r="B104" s="7" t="str">
        <x:v>书亦烧仙草</x:v>
      </x:c>
      <x:c r="C104" s="7" t="str">
        <x:v>百香芒芒</x:v>
      </x:c>
      <x:c r="D104" s="7" t="str">
        <x:v>未注明</x:v>
      </x:c>
      <x:c r="E104" s="7" t="str">
        <x:v>未注明（估算暂按常规有糖，不是无糖配置）</x:v>
      </x:c>
      <x:c r="F104" s="10" t="n">
        <x:v>210</x:v>
      </x:c>
      <x:c r="G104" s="7" t="str">
        <x:v>120–340</x:v>
      </x:c>
      <x:c r="H104" s="7" t="str">
        <x:v>配料估算</x:v>
      </x:c>
      <x:c r="I104" s="7" t="str">
        <x:v>百香果、芒果（份量待核实）</x:v>
      </x:c>
      <x:c r="J104" s="12" t="str">
        <x:v>待核实</x:v>
      </x:c>
      <x:c r="K104" s="12" t="str"/>
      <x:c r="L104" s="7" t="str">
        <x:v>https://www.nckfhsm.com/brands/shu-yi-shao-xian-cao/menu/available</x:v>
      </x:c>
      <x:c r="M104" s="7" t="str">
        <x:v>来源仅证明菜单/部分配料，不证明下列热量。假设果汁/果肉约80–160kcal+添加糖15–30g约60–120kcal；不按杯容量全部视为果汁。份量为研究假设。</x:v>
      </x:c>
      <x:c r="N104" s="7" t="str">
        <x:v>待用户核实在售状态、当地名称、杯容量、默认糖度、默认小料及份量。所有克数/毫升假设均不是已核实品牌配方；范围为估算包络，不是实测置信区间。</x:v>
      </x:c>
      <x:c r="O104" s="7" t="str">
        <x:v>2026-10-04</x:v>
      </x:c>
    </x:row>
    <x:row r="105" ht="63" customHeight="1">
      <x:c r="A105" s="9" t="str">
        <x:v>D104</x:v>
      </x:c>
      <x:c r="B105" s="9" t="str">
        <x:v>书亦烧仙草</x:v>
      </x:c>
      <x:c r="C105" s="9" t="str">
        <x:v>牛油果酸奶昔</x:v>
      </x:c>
      <x:c r="D105" s="9" t="str">
        <x:v>未注明</x:v>
      </x:c>
      <x:c r="E105" s="9" t="str">
        <x:v>未注明（估算暂按常规有糖，不是无糖配置）</x:v>
      </x:c>
      <x:c r="F105" s="11" t="n">
        <x:v>380</x:v>
      </x:c>
      <x:c r="G105" s="9" t="str">
        <x:v>260–530</x:v>
      </x:c>
      <x:c r="H105" s="9" t="str">
        <x:v>配料估算</x:v>
      </x:c>
      <x:c r="I105" s="9" t="str">
        <x:v>牛油果、酸奶</x:v>
      </x:c>
      <x:c r="J105" s="12" t="str">
        <x:v>待核实</x:v>
      </x:c>
      <x:c r="K105" s="12" t="str"/>
      <x:c r="L105" s="9" t="str">
        <x:v>https://www.nckfhsm.com/brands/shu-yi-shao-xian-cao/menu/available</x:v>
      </x:c>
      <x:c r="M105" s="9" t="str">
        <x:v>来源仅证明菜单/部分配料，不证明下列热量。假设牛油果60–100g约95–160kcal+含糖乳/酸奶基底约150–220kcal+糖约0–80kcal。</x:v>
      </x:c>
      <x:c r="N105" s="9" t="str">
        <x:v>待用户核实在售状态、当地名称、杯容量、默认糖度、默认小料及份量。所有克数/毫升假设均不是已核实品牌配方；范围为估算包络，不是实测置信区间。</x:v>
      </x:c>
      <x:c r="O105" s="9" t="str">
        <x:v>2026-10-04</x:v>
      </x:c>
    </x:row>
    <x:row r="106" ht="63" customHeight="1">
      <x:c r="A106" s="7" t="str">
        <x:v>D105</x:v>
      </x:c>
      <x:c r="B106" s="7" t="str">
        <x:v>甜啦啦</x:v>
      </x:c>
      <x:c r="C106" s="7" t="str">
        <x:v>黑糖珍珠奶茶</x:v>
      </x:c>
      <x:c r="D106" s="7" t="str">
        <x:v>520–645ml；暂按520ml</x:v>
      </x:c>
      <x:c r="E106" s="7" t="str">
        <x:v>未注明（估算暂按常规有糖，不是无糖配置）</x:v>
      </x:c>
      <x:c r="F106" s="10" t="n">
        <x:v>380</x:v>
      </x:c>
      <x:c r="G106" s="7" t="str">
        <x:v>280–520</x:v>
      </x:c>
      <x:c r="H106" s="7" t="str">
        <x:v>配料估算</x:v>
      </x:c>
      <x:c r="I106" s="7" t="str">
        <x:v>黑糖珍珠</x:v>
      </x:c>
      <x:c r="J106" s="12" t="str">
        <x:v>待核实</x:v>
      </x:c>
      <x:c r="K106" s="12" t="str"/>
      <x:c r="L106" s="7" t="str">
        <x:v>https://www.nckfhsm.com/brands/tian-la-la/menu/available</x:v>
      </x:c>
      <x:c r="M106" s="7" t="str">
        <x:v>来源仅证明菜单/部分配料，不证明下列热量。假设奶茶基底约230–320kcal+熟珍珠50–70g约80–150kcal；包含默认珍珠，不另加一次。份量为研究假设。</x:v>
      </x:c>
      <x:c r="N106" s="7" t="str">
        <x:v>待用户核实在售状态、当地名称、杯容量、默认糖度、默认小料及份量。所有克数/毫升假设均不是已核实品牌配方；范围为估算包络，不是实测置信区间。</x:v>
      </x:c>
      <x:c r="O106" s="7" t="str">
        <x:v>2026-10-04</x:v>
      </x:c>
    </x:row>
    <x:row r="107" ht="46" customHeight="1">
      <x:c r="A107" s="9" t="str">
        <x:v>D106</x:v>
      </x:c>
      <x:c r="B107" s="9" t="str">
        <x:v>甜啦啦</x:v>
      </x:c>
      <x:c r="C107" s="9" t="str">
        <x:v>冰淇淋拿铁</x:v>
      </x:c>
      <x:c r="D107" s="9" t="str">
        <x:v>520ml</x:v>
      </x:c>
      <x:c r="E107" s="9" t="str">
        <x:v>未注明（估算暂按常规有糖，不是无糖配置）</x:v>
      </x:c>
      <x:c r="F107" s="11" t="n">
        <x:v>340</x:v>
      </x:c>
      <x:c r="G107" s="9" t="str">
        <x:v>240–480</x:v>
      </x:c>
      <x:c r="H107" s="9" t="str">
        <x:v>配料估算</x:v>
      </x:c>
      <x:c r="I107" s="9" t="str">
        <x:v>冰淇淋</x:v>
      </x:c>
      <x:c r="J107" s="12" t="str">
        <x:v>待核实</x:v>
      </x:c>
      <x:c r="K107" s="12" t="str"/>
      <x:c r="L107" s="9" t="str">
        <x:v>https://www.nckfhsm.com/brands/tian-la-la/menu/available</x:v>
      </x:c>
      <x:c r="M107" s="9" t="str">
        <x:v>来源仅证明菜单/部分配料，不证明下列热量。假设乳咖基底约170–230kcal+冰淇淋50–80g约90–170kcal+糖约0–60kcal。</x:v>
      </x:c>
      <x:c r="N107" s="9" t="str">
        <x:v>待用户核实在售状态、当地名称、杯容量、默认糖度、默认小料及份量。所有克数/毫升假设均不是已核实品牌配方；范围为估算包络，不是实测置信区间。</x:v>
      </x:c>
      <x:c r="O107" s="9" t="str">
        <x:v>2026-10-04</x:v>
      </x:c>
    </x:row>
    <x:row r="108" ht="63" customHeight="1">
      <x:c r="A108" s="7" t="str">
        <x:v>D107</x:v>
      </x:c>
      <x:c r="B108" s="7" t="str">
        <x:v>甜啦啦</x:v>
      </x:c>
      <x:c r="C108" s="7" t="str">
        <x:v>杨枝甘露</x:v>
      </x:c>
      <x:c r="D108" s="7" t="str">
        <x:v>495–520ml</x:v>
      </x:c>
      <x:c r="E108" s="7" t="str">
        <x:v>未注明（估算暂按常规有糖，不是无糖配置）</x:v>
      </x:c>
      <x:c r="F108" s="10" t="n">
        <x:v>350</x:v>
      </x:c>
      <x:c r="G108" s="7" t="str">
        <x:v>240–500</x:v>
      </x:c>
      <x:c r="H108" s="7" t="str">
        <x:v>配料估算</x:v>
      </x:c>
      <x:c r="I108" s="7" t="str">
        <x:v>芒果/西米类（具体默认料待核实）</x:v>
      </x:c>
      <x:c r="J108" s="12" t="str">
        <x:v>待核实</x:v>
      </x:c>
      <x:c r="K108" s="12" t="str"/>
      <x:c r="L108" s="7" t="str">
        <x:v>https://www.nckfhsm.com/brands/tian-la-la/menu/available</x:v>
      </x:c>
      <x:c r="M108" s="7" t="str">
        <x:v>来源仅证明菜单/部分配料，不证明下列热量。假设芒果100–150g约60–100kcal+椰乳/乳基底约100–180kcal+西米/啵啵约50–100kcal+添加糖约40–100kcal；自带小料已算入。</x:v>
      </x:c>
      <x:c r="N108" s="7" t="str">
        <x:v>待用户核实在售状态、当地名称、杯容量、默认糖度、默认小料及份量。所有克数/毫升假设均不是已核实品牌配方；范围为估算包络，不是实测置信区间。</x:v>
      </x:c>
      <x:c r="O108" s="7" t="str">
        <x:v>2026-10-04</x:v>
      </x:c>
    </x:row>
    <x:row r="109" ht="46" customHeight="1">
      <x:c r="A109" s="9" t="str">
        <x:v>D108</x:v>
      </x:c>
      <x:c r="B109" s="9" t="str">
        <x:v>甜啦啦</x:v>
      </x:c>
      <x:c r="C109" s="9" t="str">
        <x:v>一桶水果茶</x:v>
      </x:c>
      <x:c r="D109" s="9" t="str">
        <x:v>1000ml</x:v>
      </x:c>
      <x:c r="E109" s="9" t="str">
        <x:v>未注明（估算暂按常规有糖，不是无糖配置）</x:v>
      </x:c>
      <x:c r="F109" s="11" t="n">
        <x:v>400</x:v>
      </x:c>
      <x:c r="G109" s="9" t="str">
        <x:v>260–610</x:v>
      </x:c>
      <x:c r="H109" s="9" t="str">
        <x:v>配料估算</x:v>
      </x:c>
      <x:c r="I109" s="9" t="str">
        <x:v>水果；见桶装模型</x:v>
      </x:c>
      <x:c r="J109" s="12" t="str">
        <x:v>待核实</x:v>
      </x:c>
      <x:c r="K109" s="12" t="str"/>
      <x:c r="L109" s="9" t="str">
        <x:v>https://www.nckfhsm.com/brands/tian-la-la/menu/available</x:v>
      </x:c>
      <x:c r="M109" s="9" t="str">
        <x:v>来源仅证明菜单/部分配料，不证明下列热量。1000ml假设水果/果汁约150–240kcal+添加糖35–65g约140–260kcal。</x:v>
      </x:c>
      <x:c r="N109" s="9" t="str">
        <x:v>待用户核实在售状态、当地名称、杯容量、默认糖度、默认小料及份量。所有克数/毫升假设均不是已核实品牌配方；范围为估算包络，不是实测置信区间。</x:v>
      </x:c>
      <x:c r="O109" s="9" t="str">
        <x:v>2026-10-04</x:v>
      </x:c>
    </x:row>
    <x:row r="110" ht="63" customHeight="1">
      <x:c r="A110" s="7" t="str">
        <x:v>D109</x:v>
      </x:c>
      <x:c r="B110" s="7" t="str">
        <x:v>甜啦啦</x:v>
      </x:c>
      <x:c r="C110" s="7" t="str">
        <x:v>超厚芋泥全家福</x:v>
      </x:c>
      <x:c r="D110" s="7" t="str">
        <x:v>未注明</x:v>
      </x:c>
      <x:c r="E110" s="7" t="str">
        <x:v>未注明（估算暂按常规有糖，不是无糖配置）</x:v>
      </x:c>
      <x:c r="F110" s="10" t="n">
        <x:v>560</x:v>
      </x:c>
      <x:c r="G110" s="7" t="str">
        <x:v>380–800</x:v>
      </x:c>
      <x:c r="H110" s="7" t="str">
        <x:v>配料估算</x:v>
      </x:c>
      <x:c r="I110" s="7" t="str">
        <x:v>芋泥及复合小料（组合待核实）</x:v>
      </x:c>
      <x:c r="J110" s="12" t="str">
        <x:v>待核实</x:v>
      </x:c>
      <x:c r="K110" s="12" t="str"/>
      <x:c r="L110" s="7" t="str">
        <x:v>https://www.nckfhsm.com/brands/tian-la-la/menu/available</x:v>
      </x:c>
      <x:c r="M110" s="7" t="str">
        <x:v>来源仅证明菜单/部分配料，不证明下列热量。假设乳基底约170–230kcal+芋泥约130–200kcal+全家福组合小料约100–200kcal+糖约40–100kcal。</x:v>
      </x:c>
      <x:c r="N110" s="7" t="str">
        <x:v>待用户核实在售状态、当地名称、杯容量、默认糖度、默认小料及份量。所有克数/毫升假设均不是已核实品牌配方；范围为估算包络，不是实测置信区间。</x:v>
      </x:c>
      <x:c r="O110" s="7" t="str">
        <x:v>2026-10-04</x:v>
      </x:c>
    </x:row>
    <x:row r="111" ht="63" customHeight="1">
      <x:c r="A111" s="9" t="str">
        <x:v>D110</x:v>
      </x:c>
      <x:c r="B111" s="9" t="str">
        <x:v>甜啦啦</x:v>
      </x:c>
      <x:c r="C111" s="9" t="str">
        <x:v>超厚芋泥椰乳</x:v>
      </x:c>
      <x:c r="D111" s="9" t="str">
        <x:v>未注明</x:v>
      </x:c>
      <x:c r="E111" s="9" t="str">
        <x:v>未注明（估算暂按常规有糖，不是无糖配置）</x:v>
      </x:c>
      <x:c r="F111" s="11" t="n">
        <x:v>410</x:v>
      </x:c>
      <x:c r="G111" s="9" t="str">
        <x:v>290–570</x:v>
      </x:c>
      <x:c r="H111" s="9" t="str">
        <x:v>配料估算</x:v>
      </x:c>
      <x:c r="I111" s="9" t="str">
        <x:v>芋泥；椰乳代替牛乳，范围放宽</x:v>
      </x:c>
      <x:c r="J111" s="12" t="str">
        <x:v>待核实</x:v>
      </x:c>
      <x:c r="K111" s="12" t="str"/>
      <x:c r="L111" s="9" t="str">
        <x:v>https://www.nckfhsm.com/brands/tian-la-la/menu/available</x:v>
      </x:c>
      <x:c r="M111" s="9" t="str">
        <x:v>来源仅证明菜单/部分配料，不证明下列热量。假设牛乳250–300ml约150–210kcal+调味芋泥80–120g约120–220kcal+糖约40–80kcal；默认芋泥已算入。</x:v>
      </x:c>
      <x:c r="N111" s="9" t="str">
        <x:v>待用户核实在售状态、当地名称、杯容量、默认糖度、默认小料及份量。所有克数/毫升假设均不是已核实品牌配方；范围为估算包络，不是实测置信区间。</x:v>
      </x:c>
      <x:c r="O111" s="9" t="str">
        <x:v>2026-10-04</x:v>
      </x:c>
    </x:row>
    <x:row r="112" ht="46" customHeight="1">
      <x:c r="A112" s="7" t="str">
        <x:v>D111</x:v>
      </x:c>
      <x:c r="B112" s="7" t="str">
        <x:v>甜啦啦</x:v>
      </x:c>
      <x:c r="C112" s="7" t="str">
        <x:v>茉莉柠檬茶</x:v>
      </x:c>
      <x:c r="D112" s="7" t="str">
        <x:v>未注明</x:v>
      </x:c>
      <x:c r="E112" s="7" t="str">
        <x:v>未注明（估算暂按常规有糖，不是无糖配置）</x:v>
      </x:c>
      <x:c r="F112" s="10" t="n">
        <x:v>130</x:v>
      </x:c>
      <x:c r="G112" s="7" t="str">
        <x:v>80–210</x:v>
      </x:c>
      <x:c r="H112" s="7" t="str">
        <x:v>配料估算</x:v>
      </x:c>
      <x:c r="I112" s="7" t="str">
        <x:v>未见固体小料</x:v>
      </x:c>
      <x:c r="J112" s="12" t="str">
        <x:v>待核实</x:v>
      </x:c>
      <x:c r="K112" s="12" t="str"/>
      <x:c r="L112" s="7" t="str">
        <x:v>https://www.nckfhsm.com/brands/tian-la-la/menu/available</x:v>
      </x:c>
      <x:c r="M112" s="7" t="str">
        <x:v>来源仅证明菜单/部分配料，不证明下列热量。假设添加糖20–35g约80–140kcal+柠檬汁/果肉约10–30kcal，茶汤近零；份量为研究假设。</x:v>
      </x:c>
      <x:c r="N112" s="7" t="str">
        <x:v>待用户核实在售状态、当地名称、杯容量、默认糖度、默认小料及份量。所有克数/毫升假设均不是已核实品牌配方；范围为估算包络，不是实测置信区间。</x:v>
      </x:c>
      <x:c r="O112" s="7" t="str">
        <x:v>2026-10-04</x:v>
      </x:c>
    </x:row>
    <x:row r="113" ht="46" customHeight="1">
      <x:c r="A113" s="9" t="str">
        <x:v>D112</x:v>
      </x:c>
      <x:c r="B113" s="9" t="str">
        <x:v>甜啦啦</x:v>
      </x:c>
      <x:c r="C113" s="9" t="str">
        <x:v>柠檬红茶</x:v>
      </x:c>
      <x:c r="D113" s="9" t="str">
        <x:v>未注明</x:v>
      </x:c>
      <x:c r="E113" s="9" t="str">
        <x:v>未注明（估算暂按常规有糖，不是无糖配置）</x:v>
      </x:c>
      <x:c r="F113" s="11" t="n">
        <x:v>130</x:v>
      </x:c>
      <x:c r="G113" s="9" t="str">
        <x:v>80–210</x:v>
      </x:c>
      <x:c r="H113" s="9" t="str">
        <x:v>配料估算</x:v>
      </x:c>
      <x:c r="I113" s="9" t="str">
        <x:v>未见固体小料</x:v>
      </x:c>
      <x:c r="J113" s="12" t="str">
        <x:v>待核实</x:v>
      </x:c>
      <x:c r="K113" s="12" t="str"/>
      <x:c r="L113" s="9" t="str">
        <x:v>https://www.nckfhsm.com/brands/tian-la-la/menu/available</x:v>
      </x:c>
      <x:c r="M113" s="9" t="str">
        <x:v>来源仅证明菜单/部分配料，不证明下列热量。假设添加糖20–35g约80–140kcal+柠檬汁/果肉约10–30kcal，茶汤近零；份量为研究假设。</x:v>
      </x:c>
      <x:c r="N113" s="9" t="str">
        <x:v>待用户核实在售状态、当地名称、杯容量、默认糖度、默认小料及份量。所有克数/毫升假设均不是已核实品牌配方；范围为估算包络，不是实测置信区间。</x:v>
      </x:c>
      <x:c r="O113" s="9" t="str">
        <x:v>2026-10-04</x:v>
      </x:c>
    </x:row>
    <x:row r="114" ht="46" customHeight="1">
      <x:c r="A114" s="7" t="str">
        <x:v>D113</x:v>
      </x:c>
      <x:c r="B114" s="7" t="str">
        <x:v>茶颜悦色</x:v>
      </x:c>
      <x:c r="C114" s="7" t="str">
        <x:v>幽兰拿铁</x:v>
      </x:c>
      <x:c r="D114" s="7" t="str">
        <x:v>500ml</x:v>
      </x:c>
      <x:c r="E114" s="7" t="str">
        <x:v>未注明（估算暂按常规有糖，不是无糖配置）</x:v>
      </x:c>
      <x:c r="F114" s="10" t="n">
        <x:v>380</x:v>
      </x:c>
      <x:c r="G114" s="7" t="str">
        <x:v>300–500</x:v>
      </x:c>
      <x:c r="H114" s="7" t="str">
        <x:v>第三方参考</x:v>
      </x:c>
      <x:c r="I114" s="7" t="str">
        <x:v>奶油、碧根果碎（需核实默认撒料）</x:v>
      </x:c>
      <x:c r="J114" s="12" t="str">
        <x:v>待核实</x:v>
      </x:c>
      <x:c r="K114" s="12" t="str"/>
      <x:c r="L114" s="7" t="str">
        <x:v>https://www.nckfhsm.com/products/you-lan-na-tie</x:v>
      </x:c>
      <x:c r="M114" s="7" t="str">
        <x:v>来源直接列热量。第三方单品页直接列380kcal/500ml，未说明测试方法及该数字对应糖度；保留原值供核实，不称官方值。</x:v>
      </x:c>
      <x:c r="N114" s="7" t="str">
        <x:v>待用户核实在售状态、当地名称、杯容量、默认糖度、默认小料及份量。菜单原料标签疑含咖啡/蛋糕等噪声，不能直接采纳；热量来源方法也不明。</x:v>
      </x:c>
      <x:c r="O114" s="7" t="str">
        <x:v>2026-10-04</x:v>
      </x:c>
    </x:row>
    <x:row r="115" ht="63" customHeight="1">
      <x:c r="A115" s="9" t="str">
        <x:v>D114</x:v>
      </x:c>
      <x:c r="B115" s="9" t="str">
        <x:v>茶颜悦色</x:v>
      </x:c>
      <x:c r="C115" s="9" t="str">
        <x:v>声声乌龙</x:v>
      </x:c>
      <x:c r="D115" s="9" t="str">
        <x:v>500ml</x:v>
      </x:c>
      <x:c r="E115" s="9" t="str">
        <x:v>未注明（估算暂按常规有糖，不是无糖配置）</x:v>
      </x:c>
      <x:c r="F115" s="11" t="n">
        <x:v>260</x:v>
      </x:c>
      <x:c r="G115" s="9" t="str">
        <x:v>170–390</x:v>
      </x:c>
      <x:c r="H115" s="9" t="str">
        <x:v>配料估算</x:v>
      </x:c>
      <x:c r="I115" s="9" t="str">
        <x:v>堂食冻干蜜桃撒料；外卖可能无撒料</x:v>
      </x:c>
      <x:c r="J115" s="12" t="str">
        <x:v>待核实</x:v>
      </x:c>
      <x:c r="K115" s="12" t="str"/>
      <x:c r="L115" s="9" t="str">
        <x:v>https://www.nckfhsm.com/products/sheng-sheng-wu-long</x:v>
      </x:c>
      <x:c r="M115" s="9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15" s="9" t="str">
        <x:v>待用户核实在售状态、当地名称、杯容量、默认糖度、默认小料及份量。所有克数/毫升假设均不是已核实品牌配方；范围为估算包络，不是实测置信区间。</x:v>
      </x:c>
      <x:c r="O115" s="9" t="str">
        <x:v>2026-10-04</x:v>
      </x:c>
    </x:row>
    <x:row r="116" ht="46" customHeight="1">
      <x:c r="A116" s="7" t="str">
        <x:v>D115</x:v>
      </x:c>
      <x:c r="B116" s="7" t="str">
        <x:v>茶颜悦色</x:v>
      </x:c>
      <x:c r="C116" s="7" t="str">
        <x:v>素颜锡兰</x:v>
      </x:c>
      <x:c r="D116" s="7" t="str">
        <x:v>500ml</x:v>
      </x:c>
      <x:c r="E116" s="7" t="str">
        <x:v>未注明（估算暂按常规有糖，不是无糖配置）</x:v>
      </x:c>
      <x:c r="F116" s="10" t="n">
        <x:v>250</x:v>
      </x:c>
      <x:c r="G116" s="7" t="str">
        <x:v>160–370</x:v>
      </x:c>
      <x:c r="H116" s="7" t="str">
        <x:v>配料估算</x:v>
      </x:c>
      <x:c r="I116" s="7" t="str">
        <x:v>介绍注明为幽兰去奶油版本，不能另减一次奶油</x:v>
      </x:c>
      <x:c r="J116" s="12" t="str">
        <x:v>待核实</x:v>
      </x:c>
      <x:c r="K116" s="12" t="str"/>
      <x:c r="L116" s="7" t="str">
        <x:v>https://www.nckfhsm.com/products/su-yan-xi-lan</x:v>
      </x:c>
      <x:c r="M116" s="7" t="str">
        <x:v>来源仅证明菜单/部分配料，不证明下列热量。按去奶油红茶牛乳估算：牛乳约150–220ml约90–155kcal+糖约60–120kcal；基底乳含量未知。</x:v>
      </x:c>
      <x:c r="N116" s="7" t="str">
        <x:v>待用户核实在售状态、当地名称、杯容量、默认糖度、默认小料及份量。所有克数/毫升假设均不是已核实品牌配方；范围为估算包络，不是实测置信区间。</x:v>
      </x:c>
      <x:c r="O116" s="7" t="str">
        <x:v>2026-10-04</x:v>
      </x:c>
    </x:row>
    <x:row r="117" ht="63" customHeight="1">
      <x:c r="A117" s="9" t="str">
        <x:v>D116</x:v>
      </x:c>
      <x:c r="B117" s="9" t="str">
        <x:v>茶颜悦色</x:v>
      </x:c>
      <x:c r="C117" s="9" t="str">
        <x:v>桂花弄</x:v>
      </x:c>
      <x:c r="D117" s="9" t="str">
        <x:v>500ml（菜单标注）</x:v>
      </x:c>
      <x:c r="E117" s="9" t="str">
        <x:v>未注明（估算暂按常规有糖，不是无糖配置）</x:v>
      </x:c>
      <x:c r="F117" s="11" t="n">
        <x:v>260</x:v>
      </x:c>
      <x:c r="G117" s="9" t="str">
        <x:v>170–390</x:v>
      </x:c>
      <x:c r="H117" s="9" t="str">
        <x:v>配料估算</x:v>
      </x:c>
      <x:c r="I117" s="9" t="str">
        <x:v>未确认固体小料</x:v>
      </x:c>
      <x:c r="J117" s="12" t="str">
        <x:v>待核实</x:v>
      </x:c>
      <x:c r="K117" s="12" t="str"/>
      <x:c r="L117" s="9" t="str">
        <x:v>https://www.nckfhsm.com/products/gui-hua-nong-cha-yan-yue-se</x:v>
      </x:c>
      <x:c r="M117" s="9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17" s="9" t="str">
        <x:v>待用户核实在售状态、当地名称、杯容量、默认糖度、默认小料及份量。所有克数/毫升假设均不是已核实品牌配方；范围为估算包络，不是实测置信区间。</x:v>
      </x:c>
      <x:c r="O117" s="9" t="str">
        <x:v>2026-10-04</x:v>
      </x:c>
    </x:row>
    <x:row r="118" ht="63" customHeight="1">
      <x:c r="A118" s="7" t="str">
        <x:v>D117</x:v>
      </x:c>
      <x:c r="B118" s="7" t="str">
        <x:v>茶颜悦色</x:v>
      </x:c>
      <x:c r="C118" s="7" t="str">
        <x:v>风栖绿桂</x:v>
      </x:c>
      <x:c r="D118" s="7" t="str">
        <x:v>500ml</x:v>
      </x:c>
      <x:c r="E118" s="7" t="str">
        <x:v>未注明（估算暂按常规有糖，不是无糖配置）</x:v>
      </x:c>
      <x:c r="F118" s="10" t="n">
        <x:v>260</x:v>
      </x:c>
      <x:c r="G118" s="7" t="str">
        <x:v>170–390</x:v>
      </x:c>
      <x:c r="H118" s="7" t="str">
        <x:v>配料估算</x:v>
      </x:c>
      <x:c r="I118" s="7" t="str">
        <x:v>沫泡云（含乳，实际配方待核实）</x:v>
      </x:c>
      <x:c r="J118" s="12" t="str">
        <x:v>待核实</x:v>
      </x:c>
      <x:c r="K118" s="12" t="str"/>
      <x:c r="L118" s="7" t="str">
        <x:v>https://www.nckfhsm.com/products/feng-qi-lv-gui-cha-yan-yue-se</x:v>
      </x:c>
      <x:c r="M118" s="7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18" s="7" t="str">
        <x:v>待用户核实在售状态、当地名称、杯容量、默认糖度、默认小料及份量。所有克数/毫升假设均不是已核实品牌配方；范围为估算包络，不是实测置信区间。</x:v>
      </x:c>
      <x:c r="O118" s="7" t="str">
        <x:v>2026-10-04</x:v>
      </x:c>
    </x:row>
    <x:row r="119" ht="63" customHeight="1">
      <x:c r="A119" s="9" t="str">
        <x:v>D118</x:v>
      </x:c>
      <x:c r="B119" s="9" t="str">
        <x:v>茶颜悦色</x:v>
      </x:c>
      <x:c r="C119" s="9" t="str">
        <x:v>少年时</x:v>
      </x:c>
      <x:c r="D119" s="9" t="str">
        <x:v>500ml</x:v>
      </x:c>
      <x:c r="E119" s="9" t="str">
        <x:v>未注明（估算暂按常规有糖，不是无糖配置）</x:v>
      </x:c>
      <x:c r="F119" s="11" t="n">
        <x:v>260</x:v>
      </x:c>
      <x:c r="G119" s="9" t="str">
        <x:v>170–390</x:v>
      </x:c>
      <x:c r="H119" s="9" t="str">
        <x:v>配料估算</x:v>
      </x:c>
      <x:c r="I119" s="9" t="str">
        <x:v>未确认固体小料</x:v>
      </x:c>
      <x:c r="J119" s="12" t="str">
        <x:v>待核实</x:v>
      </x:c>
      <x:c r="K119" s="12" t="str"/>
      <x:c r="L119" s="9" t="str">
        <x:v>https://www.nckfhsm.com/products/shao-nian-shi</x:v>
      </x:c>
      <x:c r="M119" s="9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19" s="9" t="str">
        <x:v>待用户核实在售状态、当地名称、杯容量、默认糖度、默认小料及份量。所有克数/毫升假设均不是已核实品牌配方；范围为估算包络，不是实测置信区间。</x:v>
      </x:c>
      <x:c r="O119" s="9" t="str">
        <x:v>2026-10-04</x:v>
      </x:c>
    </x:row>
    <x:row r="120" ht="46" customHeight="1">
      <x:c r="A120" s="7" t="str">
        <x:v>D119</x:v>
      </x:c>
      <x:c r="B120" s="7" t="str">
        <x:v>茶颜悦色</x:v>
      </x:c>
      <x:c r="C120" s="7" t="str">
        <x:v>白雪戏少年</x:v>
      </x:c>
      <x:c r="D120" s="7" t="str">
        <x:v>500ml</x:v>
      </x:c>
      <x:c r="E120" s="7" t="str">
        <x:v>未注明（估算暂按常规有糖，不是无糖配置）</x:v>
      </x:c>
      <x:c r="F120" s="10" t="n">
        <x:v>330</x:v>
      </x:c>
      <x:c r="G120" s="7" t="str">
        <x:v>220–500</x:v>
      </x:c>
      <x:c r="H120" s="7" t="str">
        <x:v>配料估算</x:v>
      </x:c>
      <x:c r="I120" s="7" t="str">
        <x:v>黄油乳顶、抹茶、苹果</x:v>
      </x:c>
      <x:c r="J120" s="12" t="str">
        <x:v>待核实</x:v>
      </x:c>
      <x:c r="K120" s="12" t="str"/>
      <x:c r="L120" s="7" t="str">
        <x:v>https://www.nckfhsm.com/products/bai-xue-xi-shao-nian</x:v>
      </x:c>
      <x:c r="M120" s="7" t="str">
        <x:v>来源仅证明菜单/部分配料，不证明下列热量。假设苹果汁约60–120kcal+黄油乳顶约100–200kcal+添加糖约40–100kcal。</x:v>
      </x:c>
      <x:c r="N120" s="7" t="str">
        <x:v>待用户核实在售状态、当地名称、杯容量、默认糖度、默认小料及份量。所有克数/毫升假设均不是已核实品牌配方；范围为估算包络，不是实测置信区间。</x:v>
      </x:c>
      <x:c r="O120" s="7" t="str">
        <x:v>2026-10-04</x:v>
      </x:c>
    </x:row>
    <x:row r="121" ht="63" customHeight="1">
      <x:c r="A121" s="9" t="str">
        <x:v>D120</x:v>
      </x:c>
      <x:c r="B121" s="9" t="str">
        <x:v>茶颜悦色</x:v>
      </x:c>
      <x:c r="C121" s="9" t="str">
        <x:v>筝筝纸鸢</x:v>
      </x:c>
      <x:c r="D121" s="9" t="str">
        <x:v>500ml</x:v>
      </x:c>
      <x:c r="E121" s="9" t="str">
        <x:v>未注明（估算暂按常规有糖，不是无糖配置）</x:v>
      </x:c>
      <x:c r="F121" s="11" t="n">
        <x:v>260</x:v>
      </x:c>
      <x:c r="G121" s="9" t="str">
        <x:v>170–390</x:v>
      </x:c>
      <x:c r="H121" s="9" t="str">
        <x:v>配料估算</x:v>
      </x:c>
      <x:c r="I121" s="9" t="str">
        <x:v>默认撒料/乳顶待核实</x:v>
      </x:c>
      <x:c r="J121" s="12" t="str">
        <x:v>待核实</x:v>
      </x:c>
      <x:c r="K121" s="12" t="str"/>
      <x:c r="L121" s="9" t="str">
        <x:v>https://www.nckfhsm.com/brands/cha-yan-yue-se/menu/available?page=4</x:v>
      </x:c>
      <x:c r="M121" s="9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21" s="9" t="str">
        <x:v>待用户核实在售状态、当地名称、杯容量、默认糖度、默认小料及份量。所有克数/毫升假设均不是已核实品牌配方；范围为估算包络，不是实测置信区间。</x:v>
      </x:c>
      <x:c r="O121" s="9" t="str">
        <x:v>2026-10-04</x:v>
      </x:c>
    </x:row>
    <x:row r="122" ht="63" customHeight="1">
      <x:c r="A122" s="7" t="str">
        <x:v>D121</x:v>
      </x:c>
      <x:c r="B122" s="7" t="str">
        <x:v>乐乐茶</x:v>
      </x:c>
      <x:c r="C122" s="7" t="str">
        <x:v>黑糖波霸脏脏茶</x:v>
      </x:c>
      <x:c r="D122" s="7" t="str">
        <x:v>470–500ml</x:v>
      </x:c>
      <x:c r="E122" s="7" t="str">
        <x:v>未注明（估算暂按常规有糖，不是无糖配置）</x:v>
      </x:c>
      <x:c r="F122" s="10" t="n">
        <x:v>380</x:v>
      </x:c>
      <x:c r="G122" s="7" t="str">
        <x:v>280–520</x:v>
      </x:c>
      <x:c r="H122" s="7" t="str">
        <x:v>配料估算</x:v>
      </x:c>
      <x:c r="I122" s="7" t="str">
        <x:v>黑糖珍珠</x:v>
      </x:c>
      <x:c r="J122" s="12" t="str">
        <x:v>待核实</x:v>
      </x:c>
      <x:c r="K122" s="12" t="str"/>
      <x:c r="L122" s="7" t="str">
        <x:v>https://www.nckfhsm.com/brands/le-le-cha/menu/available</x:v>
      </x:c>
      <x:c r="M122" s="7" t="str">
        <x:v>来源仅证明菜单/部分配料，不证明下列热量。假设奶茶基底约230–320kcal+熟珍珠50–70g约80–150kcal；包含默认珍珠，不另加一次。份量为研究假设。</x:v>
      </x:c>
      <x:c r="N122" s="7" t="str">
        <x:v>待用户核实在售状态、当地名称、杯容量、默认糖度、默认小料及份量。所有克数/毫升假设均不是已核实品牌配方；范围为估算包络，不是实测置信区间。</x:v>
      </x:c>
      <x:c r="O122" s="7" t="str">
        <x:v>2026-10-04</x:v>
      </x:c>
    </x:row>
    <x:row r="123" ht="63" customHeight="1">
      <x:c r="A123" s="9" t="str">
        <x:v>D122</x:v>
      </x:c>
      <x:c r="B123" s="9" t="str">
        <x:v>乐乐茶</x:v>
      </x:c>
      <x:c r="C123" s="9" t="str">
        <x:v>杨枝甘露</x:v>
      </x:c>
      <x:c r="D123" s="9" t="str">
        <x:v>470–500ml</x:v>
      </x:c>
      <x:c r="E123" s="9" t="str">
        <x:v>未注明（估算暂按常规有糖，不是无糖配置）</x:v>
      </x:c>
      <x:c r="F123" s="11" t="n">
        <x:v>350</x:v>
      </x:c>
      <x:c r="G123" s="9" t="str">
        <x:v>240–500</x:v>
      </x:c>
      <x:c r="H123" s="9" t="str">
        <x:v>配料估算</x:v>
      </x:c>
      <x:c r="I123" s="9" t="str">
        <x:v>芒果、西米类（具体待核实）</x:v>
      </x:c>
      <x:c r="J123" s="12" t="str">
        <x:v>待核实</x:v>
      </x:c>
      <x:c r="K123" s="12" t="str"/>
      <x:c r="L123" s="9" t="str">
        <x:v>https://www.nckfhsm.com/brands/le-le-cha/menu/available</x:v>
      </x:c>
      <x:c r="M123" s="9" t="str">
        <x:v>来源仅证明菜单/部分配料，不证明下列热量。假设芒果100–150g约60–100kcal+椰乳/乳基底约100–180kcal+西米/啵啵约50–100kcal+添加糖约40–100kcal；自带小料已算入。</x:v>
      </x:c>
      <x:c r="N123" s="9" t="str">
        <x:v>待用户核实在售状态、当地名称、杯容量、默认糖度、默认小料及份量。所有克数/毫升假设均不是已核实品牌配方；范围为估算包络，不是实测置信区间。</x:v>
      </x:c>
      <x:c r="O123" s="9" t="str">
        <x:v>2026-10-04</x:v>
      </x:c>
    </x:row>
    <x:row r="124" ht="46" customHeight="1">
      <x:c r="A124" s="7" t="str">
        <x:v>D123</x:v>
      </x:c>
      <x:c r="B124" s="7" t="str">
        <x:v>乐乐茶</x:v>
      </x:c>
      <x:c r="C124" s="7" t="str">
        <x:v>锡兰木薯碎碎冰</x:v>
      </x:c>
      <x:c r="D124" s="7" t="str">
        <x:v>500ml</x:v>
      </x:c>
      <x:c r="E124" s="7" t="str">
        <x:v>未注明（估算暂按常规有糖，不是无糖配置）</x:v>
      </x:c>
      <x:c r="F124" s="10" t="n">
        <x:v>400</x:v>
      </x:c>
      <x:c r="G124" s="7" t="str">
        <x:v>280–570</x:v>
      </x:c>
      <x:c r="H124" s="7" t="str">
        <x:v>配料估算</x:v>
      </x:c>
      <x:c r="I124" s="7" t="str">
        <x:v>木薯（模型按淀粉料，非麻薯配方）</x:v>
      </x:c>
      <x:c r="J124" s="12" t="str">
        <x:v>待核实</x:v>
      </x:c>
      <x:c r="K124" s="12" t="str"/>
      <x:c r="L124" s="7" t="str">
        <x:v>https://www.nckfhsm.com/brands/le-le-cha/menu/available</x:v>
      </x:c>
      <x:c r="M124" s="7" t="str">
        <x:v>来源仅证明菜单/部分配料，不证明下列热量。假设牛乳约150–210kcal+麻薯60–100g约120–200kcal+糖约40–80kcal；麻薯已算入。</x:v>
      </x:c>
      <x:c r="N124" s="7" t="str">
        <x:v>待用户核实在售状态、当地名称、杯容量、默认糖度、默认小料及份量。所有克数/毫升假设均不是已核实品牌配方；范围为估算包络，不是实测置信区间。</x:v>
      </x:c>
      <x:c r="O124" s="7" t="str">
        <x:v>2026-10-04</x:v>
      </x:c>
    </x:row>
    <x:row r="125" ht="46" customHeight="1">
      <x:c r="A125" s="9" t="str">
        <x:v>D124</x:v>
      </x:c>
      <x:c r="B125" s="9" t="str">
        <x:v>乐乐茶</x:v>
      </x:c>
      <x:c r="C125" s="9" t="str">
        <x:v>葡萄酪酪</x:v>
      </x:c>
      <x:c r="D125" s="9" t="str">
        <x:v>未注明</x:v>
      </x:c>
      <x:c r="E125" s="9" t="str">
        <x:v>未注明（估算暂按常规有糖，不是无糖配置）</x:v>
      </x:c>
      <x:c r="F125" s="11" t="n">
        <x:v>380</x:v>
      </x:c>
      <x:c r="G125" s="9" t="str">
        <x:v>270–560</x:v>
      </x:c>
      <x:c r="H125" s="9" t="str">
        <x:v>配料估算</x:v>
      </x:c>
      <x:c r="I125" s="9" t="str">
        <x:v>乳酪/奶盖、葡萄</x:v>
      </x:c>
      <x:c r="J125" s="12" t="str">
        <x:v>待核实</x:v>
      </x:c>
      <x:c r="K125" s="12" t="str"/>
      <x:c r="L125" s="9" t="str">
        <x:v>https://www.nckfhsm.com/brands/le-le-cha/menu/available</x:v>
      </x:c>
      <x:c r="M125" s="9" t="str">
        <x:v>来源仅证明菜单/部分配料，不证明下列热量。假设果茶约180–280kcal+奶盖30–50g约100–180kcal；奶盖已算入。份量为研究假设。</x:v>
      </x:c>
      <x:c r="N125" s="9" t="str">
        <x:v>待用户核实在售状态、当地名称、杯容量、默认糖度、默认小料及份量。所有克数/毫升假设均不是已核实品牌配方；范围为估算包络，不是实测置信区间。</x:v>
      </x:c>
      <x:c r="O125" s="9" t="str">
        <x:v>2026-10-04</x:v>
      </x:c>
    </x:row>
    <x:row r="126" ht="46" customHeight="1">
      <x:c r="A126" s="7" t="str">
        <x:v>D125</x:v>
      </x:c>
      <x:c r="B126" s="7" t="str">
        <x:v>乐乐茶</x:v>
      </x:c>
      <x:c r="C126" s="7" t="str">
        <x:v>草莓桃子酪酪</x:v>
      </x:c>
      <x:c r="D126" s="7" t="str">
        <x:v>650ml</x:v>
      </x:c>
      <x:c r="E126" s="7" t="str">
        <x:v>未注明（估算暂按常规有糖，不是无糖配置）</x:v>
      </x:c>
      <x:c r="F126" s="10" t="n">
        <x:v>450</x:v>
      </x:c>
      <x:c r="G126" s="7" t="str">
        <x:v>320–650</x:v>
      </x:c>
      <x:c r="H126" s="7" t="str">
        <x:v>配料估算</x:v>
      </x:c>
      <x:c r="I126" s="7" t="str">
        <x:v>乳酪/奶盖、草莓、桃；容量增大见注释</x:v>
      </x:c>
      <x:c r="J126" s="12" t="str">
        <x:v>待核实</x:v>
      </x:c>
      <x:c r="K126" s="12" t="str"/>
      <x:c r="L126" s="7" t="str">
        <x:v>https://www.nckfhsm.com/brands/le-le-cha/menu/available</x:v>
      </x:c>
      <x:c r="M126" s="7" t="str">
        <x:v>来源仅证明菜单/部分配料，不证明下列热量。650ml假设果汁/果肉与糖约240–350kcal+乳酪顶约100–180kcal；容量大于普通500ml。</x:v>
      </x:c>
      <x:c r="N126" s="7" t="str">
        <x:v>待用户核实在售状态、当地名称、杯容量、默认糖度、默认小料及份量。所有克数/毫升假设均不是已核实品牌配方；范围为估算包络，不是实测置信区间。</x:v>
      </x:c>
      <x:c r="O126" s="7" t="str">
        <x:v>2026-10-04</x:v>
      </x:c>
    </x:row>
    <x:row r="127" ht="46" customHeight="1">
      <x:c r="A127" s="9" t="str">
        <x:v>D126</x:v>
      </x:c>
      <x:c r="B127" s="9" t="str">
        <x:v>乐乐茶</x:v>
      </x:c>
      <x:c r="C127" s="9" t="str">
        <x:v>咸法酪抹茶脏脏茶</x:v>
      </x:c>
      <x:c r="D127" s="9" t="str">
        <x:v>470–500ml</x:v>
      </x:c>
      <x:c r="E127" s="9" t="str">
        <x:v>未注明（估算暂按常规有糖，不是无糖配置）</x:v>
      </x:c>
      <x:c r="F127" s="11" t="n">
        <x:v>520</x:v>
      </x:c>
      <x:c r="G127" s="9" t="str">
        <x:v>370–730</x:v>
      </x:c>
      <x:c r="H127" s="9" t="str">
        <x:v>配料估算</x:v>
      </x:c>
      <x:c r="I127" s="9" t="str">
        <x:v>咸法酪、黑糖珍珠（见专用模型）</x:v>
      </x:c>
      <x:c r="J127" s="12" t="str">
        <x:v>待核实</x:v>
      </x:c>
      <x:c r="K127" s="12" t="str"/>
      <x:c r="L127" s="9" t="str">
        <x:v>https://www.nckfhsm.com/brands/le-le-cha/menu/available</x:v>
      </x:c>
      <x:c r="M127" s="9" t="str">
        <x:v>来源仅证明菜单/部分配料，不证明下列热量。假设抹茶乳茶约230–300kcal+黑糖珍珠约90–150kcal+咸法酪约100–180kcal。</x:v>
      </x:c>
      <x:c r="N127" s="9" t="str">
        <x:v>待用户核实在售状态、当地名称、杯容量、默认糖度、默认小料及份量。所有克数/毫升假设均不是已核实品牌配方；范围为估算包络，不是实测置信区间。</x:v>
      </x:c>
      <x:c r="O127" s="9" t="str">
        <x:v>2026-10-04</x:v>
      </x:c>
    </x:row>
    <x:row r="128" ht="46" customHeight="1">
      <x:c r="A128" s="7" t="str">
        <x:v>D127</x:v>
      </x:c>
      <x:c r="B128" s="7" t="str">
        <x:v>乐乐茶</x:v>
      </x:c>
      <x:c r="C128" s="7" t="str">
        <x:v>生布蕾锡兰焦糖烧</x:v>
      </x:c>
      <x:c r="D128" s="7" t="str">
        <x:v>470–500ml</x:v>
      </x:c>
      <x:c r="E128" s="7" t="str">
        <x:v>未注明（估算暂按常规有糖，不是无糖配置）</x:v>
      </x:c>
      <x:c r="F128" s="10" t="n">
        <x:v>500</x:v>
      </x:c>
      <x:c r="G128" s="7" t="str">
        <x:v>350–700</x:v>
      </x:c>
      <x:c r="H128" s="7" t="str">
        <x:v>配料估算</x:v>
      </x:c>
      <x:c r="I128" s="7" t="str">
        <x:v>布蕾、炙烤糖（见专用模型）</x:v>
      </x:c>
      <x:c r="J128" s="12" t="str">
        <x:v>待核实</x:v>
      </x:c>
      <x:c r="K128" s="12" t="str"/>
      <x:c r="L128" s="7" t="str">
        <x:v>https://www.nckfhsm.com/brands/le-le-cha/menu/available</x:v>
      </x:c>
      <x:c r="M128" s="7" t="str">
        <x:v>来源仅证明菜单/部分配料，不证明下列热量。假设乳茶约220–300kcal+布蕾约100–180kcal+焦糖/炙烤糖约50–100kcal。</x:v>
      </x:c>
      <x:c r="N128" s="7" t="str">
        <x:v>待用户核实在售状态、当地名称、杯容量、默认糖度、默认小料及份量。所有克数/毫升假设均不是已核实品牌配方；范围为估算包络，不是实测置信区间。</x:v>
      </x:c>
      <x:c r="O128" s="7" t="str">
        <x:v>2026-10-04</x:v>
      </x:c>
    </x:row>
    <x:row r="129" ht="63" customHeight="1">
      <x:c r="A129" s="9" t="str">
        <x:v>D128</x:v>
      </x:c>
      <x:c r="B129" s="9" t="str">
        <x:v>乐乐茶</x:v>
      </x:c>
      <x:c r="C129" s="9" t="str">
        <x:v>黑糖波霸脏脏牛乳</x:v>
      </x:c>
      <x:c r="D129" s="9" t="str">
        <x:v>470–500ml</x:v>
      </x:c>
      <x:c r="E129" s="9" t="str">
        <x:v>未注明（估算暂按常规有糖，不是无糖配置）</x:v>
      </x:c>
      <x:c r="F129" s="11" t="n">
        <x:v>380</x:v>
      </x:c>
      <x:c r="G129" s="9" t="str">
        <x:v>280–520</x:v>
      </x:c>
      <x:c r="H129" s="9" t="str">
        <x:v>配料估算</x:v>
      </x:c>
      <x:c r="I129" s="9" t="str">
        <x:v>黑糖珍珠；无茶</x:v>
      </x:c>
      <x:c r="J129" s="12" t="str">
        <x:v>待核实</x:v>
      </x:c>
      <x:c r="K129" s="12" t="str"/>
      <x:c r="L129" s="9" t="str">
        <x:v>https://www.nckfhsm.com/brands/le-le-cha/menu/available</x:v>
      </x:c>
      <x:c r="M129" s="9" t="str">
        <x:v>来源仅证明菜单/部分配料，不证明下列热量。假设奶茶基底约230–320kcal+熟珍珠50–70g约80–150kcal；包含默认珍珠，不另加一次。份量为研究假设。</x:v>
      </x:c>
      <x:c r="N129" s="9" t="str">
        <x:v>待用户核实在售状态、当地名称、杯容量、默认糖度、默认小料及份量。所有克数/毫升假设均不是已核实品牌配方；范围为估算包络，不是实测置信区间。</x:v>
      </x:c>
      <x:c r="O129" s="9" t="str">
        <x:v>2026-10-04</x:v>
      </x:c>
    </x:row>
    <x:row r="130" ht="63" customHeight="1">
      <x:c r="A130" s="7" t="str">
        <x:v>D129</x:v>
      </x:c>
      <x:c r="B130" s="7" t="str">
        <x:v>七分甜</x:v>
      </x:c>
      <x:c r="C130" s="7" t="str">
        <x:v>杨枝甘露（经典版）</x:v>
      </x:c>
      <x:c r="D130" s="7" t="str">
        <x:v>490–580ml；暂按490ml</x:v>
      </x:c>
      <x:c r="E130" s="7" t="str">
        <x:v>未注明（估算暂按常规有糖，不是无糖配置）</x:v>
      </x:c>
      <x:c r="F130" s="10" t="n">
        <x:v>350</x:v>
      </x:c>
      <x:c r="G130" s="7" t="str">
        <x:v>240–500</x:v>
      </x:c>
      <x:c r="H130" s="7" t="str">
        <x:v>配料估算</x:v>
      </x:c>
      <x:c r="I130" s="7" t="str">
        <x:v>芒果、西米类（具体默认料待核实）</x:v>
      </x:c>
      <x:c r="J130" s="12" t="str">
        <x:v>待核实</x:v>
      </x:c>
      <x:c r="K130" s="12" t="str"/>
      <x:c r="L130" s="7" t="str">
        <x:v>https://www.nckfhsm.com/brands/7-fen-tian/menu/available</x:v>
      </x:c>
      <x:c r="M130" s="7" t="str">
        <x:v>来源仅证明菜单/部分配料，不证明下列热量。假设芒果100–150g约60–100kcal+椰乳/乳基底约100–180kcal+西米/啵啵约50–100kcal+添加糖约40–100kcal；自带小料已算入。</x:v>
      </x:c>
      <x:c r="N130" s="7" t="str">
        <x:v>待用户核实在售状态、当地名称、杯容量、默认糖度、默认小料及份量。所有克数/毫升假设均不是已核实品牌配方；范围为估算包络，不是实测置信区间。</x:v>
      </x:c>
      <x:c r="O130" s="7" t="str">
        <x:v>2026-10-04</x:v>
      </x:c>
    </x:row>
    <x:row r="131" ht="46" customHeight="1">
      <x:c r="A131" s="9" t="str">
        <x:v>D130</x:v>
      </x:c>
      <x:c r="B131" s="9" t="str">
        <x:v>七分甜</x:v>
      </x:c>
      <x:c r="C131" s="9" t="str">
        <x:v>泰式柚子苹果</x:v>
      </x:c>
      <x:c r="D131" s="9" t="str">
        <x:v>中杯，容量未注明</x:v>
      </x:c>
      <x:c r="E131" s="9" t="str">
        <x:v>未注明（估算暂按常规有糖，不是无糖配置）</x:v>
      </x:c>
      <x:c r="F131" s="11" t="n">
        <x:v>210</x:v>
      </x:c>
      <x:c r="G131" s="9" t="str">
        <x:v>120–340</x:v>
      </x:c>
      <x:c r="H131" s="9" t="str">
        <x:v>配料估算</x:v>
      </x:c>
      <x:c r="I131" s="9" t="str">
        <x:v>苹果汁、香柚汁；装饰莳萝不算小料</x:v>
      </x:c>
      <x:c r="J131" s="12" t="str">
        <x:v>待核实</x:v>
      </x:c>
      <x:c r="K131" s="12" t="str"/>
      <x:c r="L131" s="9" t="str">
        <x:v>https://www.nckfhsm.com/products/tai-shi-you-zi-ping-guo</x:v>
      </x:c>
      <x:c r="M131" s="9" t="str">
        <x:v>来源仅证明菜单/部分配料，不证明下列热量。假设果汁/果肉约80–160kcal+添加糖15–30g约60–120kcal；不按杯容量全部视为果汁。份量为研究假设。</x:v>
      </x:c>
      <x:c r="N131" s="9" t="str">
        <x:v>待用户核实在售状态、当地名称、杯容量、默认糖度、默认小料及份量。所有克数/毫升假设均不是已核实品牌配方；范围为估算包络，不是实测置信区间。</x:v>
      </x:c>
      <x:c r="O131" s="9" t="str">
        <x:v>2026-10-04</x:v>
      </x:c>
    </x:row>
    <x:row r="132" ht="63" customHeight="1">
      <x:c r="A132" s="7" t="str">
        <x:v>D131</x:v>
      </x:c>
      <x:c r="B132" s="7" t="str">
        <x:v>七分甜</x:v>
      </x:c>
      <x:c r="C132" s="7" t="str">
        <x:v>牛油果杨枝甘露</x:v>
      </x:c>
      <x:c r="D132" s="7" t="str">
        <x:v>414ml</x:v>
      </x:c>
      <x:c r="E132" s="7" t="str">
        <x:v>未注明（估算暂按常规有糖，不是无糖配置）</x:v>
      </x:c>
      <x:c r="F132" s="10" t="n">
        <x:v>430</x:v>
      </x:c>
      <x:c r="G132" s="7" t="str">
        <x:v>300–600</x:v>
      </x:c>
      <x:c r="H132" s="7" t="str">
        <x:v>配料估算</x:v>
      </x:c>
      <x:c r="I132" s="7" t="str">
        <x:v>牛油果及杨枝甘露自带料，见专用模型</x:v>
      </x:c>
      <x:c r="J132" s="12" t="str">
        <x:v>待核实</x:v>
      </x:c>
      <x:c r="K132" s="12" t="str"/>
      <x:c r="L132" s="7" t="str">
        <x:v>https://www.nckfhsm.com/brands/7-fen-tian/menu/available</x:v>
      </x:c>
      <x:c r="M132" s="7" t="str">
        <x:v>来源仅证明菜单/部分配料，不证明下列热量。414ml假设牛油果约80–130kcal+乳/椰基底约130–190kcal+甘露小料约60–100kcal+糖约40–80kcal。</x:v>
      </x:c>
      <x:c r="N132" s="7" t="str">
        <x:v>待用户核实在售状态、当地名称、杯容量、默认糖度、默认小料及份量。所有克数/毫升假设均不是已核实品牌配方；范围为估算包络，不是实测置信区间。</x:v>
      </x:c>
      <x:c r="O132" s="7" t="str">
        <x:v>2026-10-04</x:v>
      </x:c>
    </x:row>
    <x:row r="133" ht="63" customHeight="1">
      <x:c r="A133" s="9" t="str">
        <x:v>D132</x:v>
      </x:c>
      <x:c r="B133" s="9" t="str">
        <x:v>七分甜</x:v>
      </x:c>
      <x:c r="C133" s="9" t="str">
        <x:v>茉莉青柠茶</x:v>
      </x:c>
      <x:c r="D133" s="9" t="str">
        <x:v>490–580ml；暂按490ml</x:v>
      </x:c>
      <x:c r="E133" s="9" t="str">
        <x:v>未注明（估算暂按常规有糖，不是无糖配置）</x:v>
      </x:c>
      <x:c r="F133" s="11" t="n">
        <x:v>130</x:v>
      </x:c>
      <x:c r="G133" s="9" t="str">
        <x:v>80–210</x:v>
      </x:c>
      <x:c r="H133" s="9" t="str">
        <x:v>配料估算</x:v>
      </x:c>
      <x:c r="I133" s="9" t="str">
        <x:v>未确认固体小料</x:v>
      </x:c>
      <x:c r="J133" s="12" t="str">
        <x:v>待核实</x:v>
      </x:c>
      <x:c r="K133" s="12" t="str"/>
      <x:c r="L133" s="9" t="str">
        <x:v>https://www.nckfhsm.com/en/brands/7-fen-tian/menu/available?page=6</x:v>
      </x:c>
      <x:c r="M133" s="9" t="str">
        <x:v>来源仅证明菜单/部分配料，不证明下列热量。假设添加糖20–35g约80–140kcal+柠檬汁/果肉约10–30kcal，茶汤近零；份量为研究假设。</x:v>
      </x:c>
      <x:c r="N133" s="9" t="str">
        <x:v>待用户核实在售状态、当地名称、杯容量、默认糖度、默认小料及份量。所有克数/毫升假设均不是已核实品牌配方；范围为估算包络，不是实测置信区间。</x:v>
      </x:c>
      <x:c r="O133" s="9" t="str">
        <x:v>2026-10-04</x:v>
      </x:c>
    </x:row>
    <x:row r="134" ht="63" customHeight="1">
      <x:c r="A134" s="7" t="str">
        <x:v>D133</x:v>
      </x:c>
      <x:c r="B134" s="7" t="str">
        <x:v>七分甜</x:v>
      </x:c>
      <x:c r="C134" s="7" t="str">
        <x:v>粉芭乐青柠茶</x:v>
      </x:c>
      <x:c r="D134" s="7" t="str">
        <x:v>未注明</x:v>
      </x:c>
      <x:c r="E134" s="7" t="str">
        <x:v>未注明（估算暂按常规有糖，不是无糖配置）</x:v>
      </x:c>
      <x:c r="F134" s="10" t="n">
        <x:v>210</x:v>
      </x:c>
      <x:c r="G134" s="7" t="str">
        <x:v>120–340</x:v>
      </x:c>
      <x:c r="H134" s="7" t="str">
        <x:v>配料估算</x:v>
      </x:c>
      <x:c r="I134" s="7" t="str">
        <x:v>芭乐果肉/果汁</x:v>
      </x:c>
      <x:c r="J134" s="12" t="str">
        <x:v>待核实</x:v>
      </x:c>
      <x:c r="K134" s="12" t="str"/>
      <x:c r="L134" s="7" t="str">
        <x:v>https://www.nckfhsm.com/en/brands/7-fen-tian/menu/available?page=6</x:v>
      </x:c>
      <x:c r="M134" s="7" t="str">
        <x:v>来源仅证明菜单/部分配料，不证明下列热量。假设果汁/果肉约80–160kcal+添加糖15–30g约60–120kcal；不按杯容量全部视为果汁。份量为研究假设。</x:v>
      </x:c>
      <x:c r="N134" s="7" t="str">
        <x:v>待用户核实在售状态、当地名称、杯容量、默认糖度、默认小料及份量。所有克数/毫升假设均不是已核实品牌配方；范围为估算包络，不是实测置信区间。</x:v>
      </x:c>
      <x:c r="O134" s="7" t="str">
        <x:v>2026-10-04</x:v>
      </x:c>
    </x:row>
    <x:row r="135" ht="63" customHeight="1">
      <x:c r="A135" s="9" t="str">
        <x:v>D134</x:v>
      </x:c>
      <x:c r="B135" s="9" t="str">
        <x:v>七分甜</x:v>
      </x:c>
      <x:c r="C135" s="9" t="str">
        <x:v>黑糖珍珠白芽奇兰</x:v>
      </x:c>
      <x:c r="D135" s="9" t="str">
        <x:v>未注明</x:v>
      </x:c>
      <x:c r="E135" s="9" t="str">
        <x:v>未注明（估算暂按常规有糖，不是无糖配置）</x:v>
      </x:c>
      <x:c r="F135" s="11" t="n">
        <x:v>380</x:v>
      </x:c>
      <x:c r="G135" s="9" t="str">
        <x:v>280–520</x:v>
      </x:c>
      <x:c r="H135" s="9" t="str">
        <x:v>配料估算</x:v>
      </x:c>
      <x:c r="I135" s="9" t="str">
        <x:v>黑糖珍珠；乳基底待核实</x:v>
      </x:c>
      <x:c r="J135" s="12" t="str">
        <x:v>待核实</x:v>
      </x:c>
      <x:c r="K135" s="12" t="str"/>
      <x:c r="L135" s="9" t="str">
        <x:v>https://www.nckfhsm.com/en/brands/7-fen-tian/menu/available?page=6</x:v>
      </x:c>
      <x:c r="M135" s="9" t="str">
        <x:v>来源仅证明菜单/部分配料，不证明下列热量。假设奶茶基底约230–320kcal+熟珍珠50–70g约80–150kcal；包含默认珍珠，不另加一次。份量为研究假设。</x:v>
      </x:c>
      <x:c r="N135" s="9" t="str">
        <x:v>待用户核实在售状态、当地名称、杯容量、默认糖度、默认小料及份量。所有克数/毫升假设均不是已核实品牌配方；范围为估算包络，不是实测置信区间。</x:v>
      </x:c>
      <x:c r="O135" s="9" t="str">
        <x:v>2026-10-04</x:v>
      </x:c>
    </x:row>
    <x:row r="136" ht="63" customHeight="1">
      <x:c r="A136" s="7" t="str">
        <x:v>D135</x:v>
      </x:c>
      <x:c r="B136" s="7" t="str">
        <x:v>七分甜</x:v>
      </x:c>
      <x:c r="C136" s="7" t="str">
        <x:v>咸法酪芒芒甘露</x:v>
      </x:c>
      <x:c r="D136" s="7" t="str">
        <x:v>未注明</x:v>
      </x:c>
      <x:c r="E136" s="7" t="str">
        <x:v>未注明（估算暂按常规有糖，不是无糖配置）</x:v>
      </x:c>
      <x:c r="F136" s="10" t="n">
        <x:v>470</x:v>
      </x:c>
      <x:c r="G136" s="7" t="str">
        <x:v>330–650</x:v>
      </x:c>
      <x:c r="H136" s="7" t="str">
        <x:v>配料估算</x:v>
      </x:c>
      <x:c r="I136" s="7" t="str">
        <x:v>咸法酪、甘露小料；见专用模型</x:v>
      </x:c>
      <x:c r="J136" s="12" t="str">
        <x:v>待核实</x:v>
      </x:c>
      <x:c r="K136" s="12" t="str"/>
      <x:c r="L136" s="7" t="str">
        <x:v>https://www.nckfhsm.com/en/brands/7-fen-tian/menu/available?page=6</x:v>
      </x:c>
      <x:c r="M136" s="7" t="str">
        <x:v>来源仅证明菜单/部分配料，不证明下列热量。假设杨枝甘露约300–380kcal+咸法酪约100–170kcal，自带甘露小料只算一次。</x:v>
      </x:c>
      <x:c r="N136" s="7" t="str">
        <x:v>待用户核实在售状态、当地名称、杯容量、默认糖度、默认小料及份量。所有克数/毫升假设均不是已核实品牌配方；范围为估算包络，不是实测置信区间。</x:v>
      </x:c>
      <x:c r="O136" s="7" t="str">
        <x:v>2026-10-04</x:v>
      </x:c>
    </x:row>
    <x:row r="137" ht="63" customHeight="1">
      <x:c r="A137" s="9" t="str">
        <x:v>D136</x:v>
      </x:c>
      <x:c r="B137" s="9" t="str">
        <x:v>七分甜</x:v>
      </x:c>
      <x:c r="C137" s="9" t="str">
        <x:v>咸法酪抹茶</x:v>
      </x:c>
      <x:c r="D137" s="9" t="str">
        <x:v>未注明</x:v>
      </x:c>
      <x:c r="E137" s="9" t="str">
        <x:v>未注明（估算暂按常规有糖，不是无糖配置）</x:v>
      </x:c>
      <x:c r="F137" s="11" t="n">
        <x:v>400</x:v>
      </x:c>
      <x:c r="G137" s="9" t="str">
        <x:v>290–570</x:v>
      </x:c>
      <x:c r="H137" s="9" t="str">
        <x:v>配料估算</x:v>
      </x:c>
      <x:c r="I137" s="9" t="str">
        <x:v>咸法酪；无额外加料</x:v>
      </x:c>
      <x:c r="J137" s="12" t="str">
        <x:v>待核实</x:v>
      </x:c>
      <x:c r="K137" s="12" t="str"/>
      <x:c r="L137" s="9" t="str">
        <x:v>https://www.nckfhsm.com/en/brands/7-fen-tian/menu/available?page=6</x:v>
      </x:c>
      <x:c r="M137" s="9" t="str">
        <x:v>来源仅证明菜单/部分配料，不证明下列热量。假设乳茶约220–320kcal+奶油/乳酪顶约100–180kcal；默认顶料已算入。份量为研究假设。</x:v>
      </x:c>
      <x:c r="N137" s="9" t="str">
        <x:v>待用户核实在售状态、当地名称、杯容量、默认糖度、默认小料及份量。所有克数/毫升假设均不是已核实品牌配方；范围为估算包络，不是实测置信区间。</x:v>
      </x:c>
      <x:c r="O137" s="9" t="str">
        <x:v>2026-10-04</x:v>
      </x:c>
    </x:row>
    <x:row r="138" ht="63" customHeight="1">
      <x:c r="A138" s="7" t="str">
        <x:v>D137</x:v>
      </x:c>
      <x:c r="B138" s="7" t="str">
        <x:v>茶话弄</x:v>
      </x:c>
      <x:c r="C138" s="7" t="str">
        <x:v>桂花引</x:v>
      </x:c>
      <x:c r="D138" s="7" t="str">
        <x:v>标准杯，容量未注明</x:v>
      </x:c>
      <x:c r="E138" s="7" t="str">
        <x:v>未注明（估算暂按常规有糖，不是无糖配置）</x:v>
      </x:c>
      <x:c r="F138" s="10" t="n">
        <x:v>260</x:v>
      </x:c>
      <x:c r="G138" s="7" t="str">
        <x:v>170–390</x:v>
      </x:c>
      <x:c r="H138" s="7" t="str">
        <x:v>配料估算</x:v>
      </x:c>
      <x:c r="I138" s="7" t="str">
        <x:v>浓缩奶油基底（不是额外奶油雪顶）</x:v>
      </x:c>
      <x:c r="J138" s="12" t="str">
        <x:v>待核实</x:v>
      </x:c>
      <x:c r="K138" s="12" t="str"/>
      <x:c r="L138" s="7" t="str">
        <x:v>https://www.nckfhsm.com/products/gui-hua-yin</x:v>
      </x:c>
      <x:c r="M138" s="7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38" s="7" t="str">
        <x:v>待用户核实在售状态、当地名称、杯容量、默认糖度、默认小料及份量。所有克数/毫升假设均不是已核实品牌配方；范围为估算包络，不是实测置信区间。</x:v>
      </x:c>
      <x:c r="O138" s="7" t="str">
        <x:v>2026-10-04</x:v>
      </x:c>
    </x:row>
    <x:row r="139" ht="46" customHeight="1">
      <x:c r="A139" s="9" t="str">
        <x:v>D138</x:v>
      </x:c>
      <x:c r="B139" s="9" t="str">
        <x:v>茶话弄</x:v>
      </x:c>
      <x:c r="C139" s="9" t="str">
        <x:v>梅占摇红</x:v>
      </x:c>
      <x:c r="D139" s="9" t="str">
        <x:v>未注明</x:v>
      </x:c>
      <x:c r="E139" s="9" t="str">
        <x:v>未注明（估算暂按常规有糖，不是无糖配置）</x:v>
      </x:c>
      <x:c r="F139" s="11" t="n">
        <x:v>400</x:v>
      </x:c>
      <x:c r="G139" s="9" t="str">
        <x:v>290–570</x:v>
      </x:c>
      <x:c r="H139" s="9" t="str">
        <x:v>配料估算</x:v>
      </x:c>
      <x:c r="I139" s="9" t="str">
        <x:v>动物奶油雪顶、浓缩奶油</x:v>
      </x:c>
      <x:c r="J139" s="12" t="str">
        <x:v>待核实</x:v>
      </x:c>
      <x:c r="K139" s="12" t="str"/>
      <x:c r="L139" s="9" t="str">
        <x:v>https://www.nckfhsm.com/products/mei-zhan-yao-hong</x:v>
      </x:c>
      <x:c r="M139" s="9" t="str">
        <x:v>来源仅证明菜单/部分配料，不证明下列热量。假设乳茶约220–320kcal+奶油/乳酪顶约100–180kcal；默认顶料已算入。份量为研究假设。</x:v>
      </x:c>
      <x:c r="N139" s="9" t="str">
        <x:v>待用户核实在售状态、当地名称、杯容量、默认糖度、默认小料及份量。所有克数/毫升假设均不是已核实品牌配方；范围为估算包络，不是实测置信区间。</x:v>
      </x:c>
      <x:c r="O139" s="9" t="str">
        <x:v>2026-10-04</x:v>
      </x:c>
    </x:row>
    <x:row r="140" ht="63" customHeight="1">
      <x:c r="A140" s="7" t="str">
        <x:v>D139</x:v>
      </x:c>
      <x:c r="B140" s="7" t="str">
        <x:v>茶话弄</x:v>
      </x:c>
      <x:c r="C140" s="7" t="str">
        <x:v>芊芊绿雪</x:v>
      </x:c>
      <x:c r="D140" s="7" t="str">
        <x:v>标准杯，容量未注明</x:v>
      </x:c>
      <x:c r="E140" s="7" t="str">
        <x:v>未注明（估算暂按常规有糖，不是无糖配置）</x:v>
      </x:c>
      <x:c r="F140" s="10" t="n">
        <x:v>260</x:v>
      </x:c>
      <x:c r="G140" s="7" t="str">
        <x:v>170–390</x:v>
      </x:c>
      <x:c r="H140" s="7" t="str">
        <x:v>配料估算</x:v>
      </x:c>
      <x:c r="I140" s="7" t="str">
        <x:v>浓缩奶油基底</x:v>
      </x:c>
      <x:c r="J140" s="12" t="str">
        <x:v>待核实</x:v>
      </x:c>
      <x:c r="K140" s="12" t="str"/>
      <x:c r="L140" s="7" t="str">
        <x:v>https://www.nckfhsm.com/products/qian-qian-lv-xue</x:v>
      </x:c>
      <x:c r="M140" s="7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40" s="7" t="str">
        <x:v>待用户核实在售状态、当地名称、杯容量、默认糖度、默认小料及份量。所有克数/毫升假设均不是已核实品牌配方；范围为估算包络，不是实测置信区间。</x:v>
      </x:c>
      <x:c r="O140" s="7" t="str">
        <x:v>2026-10-04</x:v>
      </x:c>
    </x:row>
    <x:row r="141" ht="63" customHeight="1">
      <x:c r="A141" s="9" t="str">
        <x:v>D140</x:v>
      </x:c>
      <x:c r="B141" s="9" t="str">
        <x:v>茶话弄</x:v>
      </x:c>
      <x:c r="C141" s="9" t="str">
        <x:v>南山烟雨</x:v>
      </x:c>
      <x:c r="D141" s="9" t="str">
        <x:v>标准杯，容量未注明</x:v>
      </x:c>
      <x:c r="E141" s="9" t="str">
        <x:v>未注明（估算暂按常规有糖，不是无糖配置）</x:v>
      </x:c>
      <x:c r="F141" s="11" t="n">
        <x:v>260</x:v>
      </x:c>
      <x:c r="G141" s="9" t="str">
        <x:v>170–390</x:v>
      </x:c>
      <x:c r="H141" s="9" t="str">
        <x:v>配料估算</x:v>
      </x:c>
      <x:c r="I141" s="9" t="str">
        <x:v>浓缩奶油基底</x:v>
      </x:c>
      <x:c r="J141" s="12" t="str">
        <x:v>待核实</x:v>
      </x:c>
      <x:c r="K141" s="12" t="str"/>
      <x:c r="L141" s="9" t="str">
        <x:v>https://www.nckfhsm.com/products/nan-shan-yan-yu</x:v>
      </x:c>
      <x:c r="M141" s="9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41" s="9" t="str">
        <x:v>待用户核实在售状态、当地名称、杯容量、默认糖度、默认小料及份量。所有克数/毫升假设均不是已核实品牌配方；范围为估算包络，不是实测置信区间。</x:v>
      </x:c>
      <x:c r="O141" s="9" t="str">
        <x:v>2026-10-04</x:v>
      </x:c>
    </x:row>
    <x:row r="142" ht="63" customHeight="1">
      <x:c r="A142" s="7" t="str">
        <x:v>D141</x:v>
      </x:c>
      <x:c r="B142" s="7" t="str">
        <x:v>茶话弄</x:v>
      </x:c>
      <x:c r="C142" s="7" t="str">
        <x:v>茯生半日闲</x:v>
      </x:c>
      <x:c r="D142" s="7" t="str">
        <x:v>标准杯，容量未注明</x:v>
      </x:c>
      <x:c r="E142" s="7" t="str">
        <x:v>未注明（估算暂按常规有糖，不是无糖配置）</x:v>
      </x:c>
      <x:c r="F142" s="10" t="n">
        <x:v>260</x:v>
      </x:c>
      <x:c r="G142" s="7" t="str">
        <x:v>170–390</x:v>
      </x:c>
      <x:c r="H142" s="7" t="str">
        <x:v>配料估算</x:v>
      </x:c>
      <x:c r="I142" s="7" t="str">
        <x:v>老盐糖（不另外加糖仍有糖）</x:v>
      </x:c>
      <x:c r="J142" s="12" t="str">
        <x:v>待核实</x:v>
      </x:c>
      <x:c r="K142" s="12" t="str"/>
      <x:c r="L142" s="7" t="str">
        <x:v>https://www.nckfhsm.com/zh-tw/products/fu-sheng-ban-ri-xian</x:v>
      </x:c>
      <x:c r="M142" s="7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42" s="7" t="str">
        <x:v>待用户核实在售状态、当地名称、杯容量、默认糖度、默认小料及份量。所有克数/毫升假设均不是已核实品牌配方；范围为估算包络，不是实测置信区间。</x:v>
      </x:c>
      <x:c r="O142" s="7" t="str">
        <x:v>2026-10-04</x:v>
      </x:c>
    </x:row>
    <x:row r="143" ht="46" customHeight="1">
      <x:c r="A143" s="9" t="str">
        <x:v>D142</x:v>
      </x:c>
      <x:c r="B143" s="9" t="str">
        <x:v>茶话弄</x:v>
      </x:c>
      <x:c r="C143" s="9" t="str">
        <x:v>冰淇淋桂花气泡茶</x:v>
      </x:c>
      <x:c r="D143" s="9" t="str">
        <x:v>未注明</x:v>
      </x:c>
      <x:c r="E143" s="9" t="str">
        <x:v>未注明（估算暂按常规有糖，不是无糖配置）</x:v>
      </x:c>
      <x:c r="F143" s="11" t="n">
        <x:v>220</x:v>
      </x:c>
      <x:c r="G143" s="9" t="str">
        <x:v>130–360</x:v>
      </x:c>
      <x:c r="H143" s="9" t="str">
        <x:v>配料估算</x:v>
      </x:c>
      <x:c r="I143" s="9" t="str">
        <x:v>冰淇淋；模型改为甜茶不是咖啡，见注释</x:v>
      </x:c>
      <x:c r="J143" s="12" t="str">
        <x:v>待核实</x:v>
      </x:c>
      <x:c r="K143" s="12" t="str"/>
      <x:c r="L143" s="9" t="str">
        <x:v>https://www.nckfhsm.com/brands/cha-hua-nong/menu/available</x:v>
      </x:c>
      <x:c r="M143" s="9" t="str">
        <x:v>来源仅证明菜单/部分配料，不证明下列热量。假设含糖桂花气泡茶约80–160kcal+冰淇淋50–80g约90–170kcal，不含咖啡/牛乳基底假设。</x:v>
      </x:c>
      <x:c r="N143" s="9" t="str">
        <x:v>待用户核实在售状态、当地名称、杯容量、默认糖度、默认小料及份量。所有克数/毫升假设均不是已核实品牌配方；范围为估算包络，不是实测置信区间。</x:v>
      </x:c>
      <x:c r="O143" s="9" t="str">
        <x:v>2026-10-04</x:v>
      </x:c>
    </x:row>
    <x:row r="144" ht="63" customHeight="1">
      <x:c r="A144" s="7" t="str">
        <x:v>D143</x:v>
      </x:c>
      <x:c r="B144" s="7" t="str">
        <x:v>茶话弄</x:v>
      </x:c>
      <x:c r="C144" s="7" t="str">
        <x:v>晴空有云（酸奶）</x:v>
      </x:c>
      <x:c r="D144" s="7" t="str">
        <x:v>未注明</x:v>
      </x:c>
      <x:c r="E144" s="7" t="str">
        <x:v>未注明（估算暂按常规有糖，不是无糖配置）</x:v>
      </x:c>
      <x:c r="F144" s="10" t="n">
        <x:v>320</x:v>
      </x:c>
      <x:c r="G144" s="7" t="str">
        <x:v>210–460</x:v>
      </x:c>
      <x:c r="H144" s="7" t="str">
        <x:v>配料估算</x:v>
      </x:c>
      <x:c r="I144" s="7" t="str">
        <x:v>酸奶、其他料待核实</x:v>
      </x:c>
      <x:c r="J144" s="12" t="str">
        <x:v>待核实</x:v>
      </x:c>
      <x:c r="K144" s="12" t="str"/>
      <x:c r="L144" s="7" t="str">
        <x:v>https://www.nckfhsm.com/brands/cha-hua-nong/menu/available</x:v>
      </x:c>
      <x:c r="M144" s="7" t="str">
        <x:v>来源仅证明菜单/部分配料，不证明下列热量。假设含糖酸奶200–250g约140–230kcal+果肉约50–90kcal+添加糖约0–60kcal。份量为研究假设。</x:v>
      </x:c>
      <x:c r="N144" s="7" t="str">
        <x:v>待用户核实在售状态、当地名称、杯容量、默认糖度、默认小料及份量。所有克数/毫升假设均不是已核实品牌配方；范围为估算包络，不是实测置信区间。</x:v>
      </x:c>
      <x:c r="O144" s="7" t="str">
        <x:v>2026-10-04</x:v>
      </x:c>
    </x:row>
    <x:row r="145" ht="63" customHeight="1">
      <x:c r="A145" s="9" t="str">
        <x:v>D144</x:v>
      </x:c>
      <x:c r="B145" s="9" t="str">
        <x:v>茶话弄</x:v>
      </x:c>
      <x:c r="C145" s="9" t="str">
        <x:v>桂花拿铁</x:v>
      </x:c>
      <x:c r="D145" s="9" t="str">
        <x:v>未注明</x:v>
      </x:c>
      <x:c r="E145" s="9" t="str">
        <x:v>未注明（估算暂按常规有糖，不是无糖配置）</x:v>
      </x:c>
      <x:c r="F145" s="11" t="n">
        <x:v>260</x:v>
      </x:c>
      <x:c r="G145" s="9" t="str">
        <x:v>170–390</x:v>
      </x:c>
      <x:c r="H145" s="9" t="str">
        <x:v>配料估算</x:v>
      </x:c>
      <x:c r="I145" s="9" t="str">
        <x:v>桂花风味糖浆（配方待核实）</x:v>
      </x:c>
      <x:c r="J145" s="12" t="str">
        <x:v>待核实</x:v>
      </x:c>
      <x:c r="K145" s="12" t="str"/>
      <x:c r="L145" s="9" t="str">
        <x:v>https://www.nckfhsm.com/brands/cha-hua-nong/menu/available</x:v>
      </x:c>
      <x:c r="M145" s="9" t="str">
        <x:v>来源仅证明菜单/部分配料，不证明下列热量。假设乳基底约150–250ml（约90–175kcal）+添加糖约15–30g（60–120kcal）；若含浓缩奶油/乳基底粉另预留约30–100kcal。份量为研究假设，并非品牌配方。</x:v>
      </x:c>
      <x:c r="N145" s="9" t="str">
        <x:v>待用户核实在售状态、当地名称、杯容量、默认糖度、默认小料及份量。所有克数/毫升假设均不是已核实品牌配方；范围为估算包络，不是实测置信区间。</x:v>
      </x:c>
      <x:c r="O145" s="9" t="str">
        <x:v>2026-10-04</x:v>
      </x:c>
    </x:row>
    <x:row r="146" ht="46" customHeight="1">
      <x:c r="A146" s="7" t="str">
        <x:v>D145</x:v>
      </x:c>
      <x:c r="B146" s="7" t="str">
        <x:v>阿嬷手作</x:v>
      </x:c>
      <x:c r="C146" s="7" t="str">
        <x:v>煮·荔浦芋圆</x:v>
      </x:c>
      <x:c r="D146" s="7" t="str">
        <x:v>未注明</x:v>
      </x:c>
      <x:c r="E146" s="7" t="str">
        <x:v>未注明（估算暂按常规有糖，不是无糖配置）</x:v>
      </x:c>
      <x:c r="F146" s="10" t="n">
        <x:v>450</x:v>
      </x:c>
      <x:c r="G146" s="7" t="str">
        <x:v>320–650</x:v>
      </x:c>
      <x:c r="H146" s="7" t="str">
        <x:v>配料估算</x:v>
      </x:c>
      <x:c r="I146" s="7" t="str">
        <x:v>芋圆、芋泥</x:v>
      </x:c>
      <x:c r="J146" s="12" t="str">
        <x:v>待核实</x:v>
      </x:c>
      <x:c r="K146" s="12" t="str"/>
      <x:c r="L146" s="7" t="str">
        <x:v>https://www.nckfhsm.com/products/zhu-li-pu-yu-yuan-40829</x:v>
      </x:c>
      <x:c r="M146" s="7" t="str">
        <x:v>来源仅证明菜单/部分配料，不证明下列热量。假设牛乳约170–210kcal+芋圆/芋泥合计约160–250kcal+糖约40–80kcal；自带料已算入。</x:v>
      </x:c>
      <x:c r="N146" s="7" t="str">
        <x:v>待用户核实在售状态、当地名称、杯容量、默认糖度、默认小料及份量。所有克数/毫升假设均不是已核实品牌配方；范围为估算包络，不是实测置信区间。</x:v>
      </x:c>
      <x:c r="O146" s="7" t="str">
        <x:v>2026-10-04</x:v>
      </x:c>
    </x:row>
    <x:row r="147" ht="63" customHeight="1">
      <x:c r="A147" s="9" t="str">
        <x:v>D146</x:v>
      </x:c>
      <x:c r="B147" s="9" t="str">
        <x:v>阿嬷手作</x:v>
      </x:c>
      <x:c r="C147" s="9" t="str">
        <x:v>黑糖珍珠·牛乳2.0</x:v>
      </x:c>
      <x:c r="D147" s="9" t="str">
        <x:v>未注明</x:v>
      </x:c>
      <x:c r="E147" s="9" t="str">
        <x:v>未注明（估算暂按常规有糖，不是无糖配置）</x:v>
      </x:c>
      <x:c r="F147" s="11" t="n">
        <x:v>480</x:v>
      </x:c>
      <x:c r="G147" s="9" t="str">
        <x:v>330–680</x:v>
      </x:c>
      <x:c r="H147" s="9" t="str">
        <x:v>配料估算</x:v>
      </x:c>
      <x:c r="I147" s="9" t="str">
        <x:v>黑糖珍珠、奶冻；见专用模型</x:v>
      </x:c>
      <x:c r="J147" s="12" t="str">
        <x:v>待核实</x:v>
      </x:c>
      <x:c r="K147" s="12" t="str"/>
      <x:c r="L147" s="9" t="str">
        <x:v>https://www.nckfhsm.com/products/hei-tang-zhen-zhu-niu-ru-2-0</x:v>
      </x:c>
      <x:c r="M147" s="9" t="str">
        <x:v>来源仅证明菜单/部分配料，不证明下列热量。假设牛乳250–300ml约150–210kcal+黑糖珍珠约100–160kcal+奶冻约70–140kcal+糖约0–60kcal。</x:v>
      </x:c>
      <x:c r="N147" s="9" t="str">
        <x:v>待用户核实在售状态、当地名称、杯容量、默认糖度、默认小料及份量。所有克数/毫升假设均不是已核实品牌配方；范围为估算包络，不是实测置信区间。</x:v>
      </x:c>
      <x:c r="O147" s="9" t="str">
        <x:v>2026-10-04</x:v>
      </x:c>
    </x:row>
    <x:row r="148" ht="63" customHeight="1">
      <x:c r="A148" s="7" t="str">
        <x:v>D147</x:v>
      </x:c>
      <x:c r="B148" s="7" t="str">
        <x:v>阿嬷手作</x:v>
      </x:c>
      <x:c r="C148" s="7" t="str">
        <x:v>蒸·超厚芋泥</x:v>
      </x:c>
      <x:c r="D148" s="7" t="str">
        <x:v>未注明</x:v>
      </x:c>
      <x:c r="E148" s="7" t="str">
        <x:v>未注明（估算暂按常规有糖，不是无糖配置）</x:v>
      </x:c>
      <x:c r="F148" s="10" t="n">
        <x:v>410</x:v>
      </x:c>
      <x:c r="G148" s="7" t="str">
        <x:v>290–570</x:v>
      </x:c>
      <x:c r="H148" s="7" t="str">
        <x:v>配料估算</x:v>
      </x:c>
      <x:c r="I148" s="7" t="str">
        <x:v>芋泥；奶冻为可选加料未算入</x:v>
      </x:c>
      <x:c r="J148" s="12" t="str">
        <x:v>待核实</x:v>
      </x:c>
      <x:c r="K148" s="12" t="str"/>
      <x:c r="L148" s="7" t="str">
        <x:v>https://www.nckfhsm.com/products/zheng-chao-hou-yu-ni</x:v>
      </x:c>
      <x:c r="M148" s="7" t="str">
        <x:v>来源仅证明菜单/部分配料，不证明下列热量。假设牛乳250–300ml约150–210kcal+调味芋泥80–120g约120–220kcal+糖约40–80kcal；默认芋泥已算入。</x:v>
      </x:c>
      <x:c r="N148" s="7" t="str">
        <x:v>待用户核实在售状态、当地名称、杯容量、默认糖度、默认小料及份量。所有克数/毫升假设均不是已核实品牌配方；范围为估算包络，不是实测置信区间。</x:v>
      </x:c>
      <x:c r="O148" s="7" t="str">
        <x:v>2026-10-04</x:v>
      </x:c>
    </x:row>
    <x:row r="149" ht="46" customHeight="1">
      <x:c r="A149" s="9" t="str">
        <x:v>D148</x:v>
      </x:c>
      <x:c r="B149" s="9" t="str">
        <x:v>阿嬷手作</x:v>
      </x:c>
      <x:c r="C149" s="9" t="str">
        <x:v>打·米麻薯</x:v>
      </x:c>
      <x:c r="D149" s="9" t="str">
        <x:v>未注明</x:v>
      </x:c>
      <x:c r="E149" s="9" t="str">
        <x:v>未注明（估算暂按常规有糖，不是无糖配置）</x:v>
      </x:c>
      <x:c r="F149" s="11" t="n">
        <x:v>400</x:v>
      </x:c>
      <x:c r="G149" s="9" t="str">
        <x:v>280–570</x:v>
      </x:c>
      <x:c r="H149" s="9" t="str">
        <x:v>配料估算</x:v>
      </x:c>
      <x:c r="I149" s="9" t="str">
        <x:v>米麻薯</x:v>
      </x:c>
      <x:c r="J149" s="12" t="str">
        <x:v>待核实</x:v>
      </x:c>
      <x:c r="K149" s="12" t="str"/>
      <x:c r="L149" s="9" t="str">
        <x:v>https://www.nckfhsm.com/brands/a-ma-shou-zuo/menu/available</x:v>
      </x:c>
      <x:c r="M149" s="9" t="str">
        <x:v>来源仅证明菜单/部分配料，不证明下列热量。假设牛乳约150–210kcal+麻薯60–100g约120–200kcal+糖约40–80kcal；麻薯已算入。</x:v>
      </x:c>
      <x:c r="N149" s="9" t="str">
        <x:v>待用户核实在售状态、当地名称、杯容量、默认糖度、默认小料及份量。所有克数/毫升假设均不是已核实品牌配方；范围为估算包络，不是实测置信区间。</x:v>
      </x:c>
      <x:c r="O149" s="9" t="str">
        <x:v>2026-10-04</x:v>
      </x:c>
    </x:row>
    <x:row r="150" ht="63" customHeight="1">
      <x:c r="A150" s="7" t="str">
        <x:v>D149</x:v>
      </x:c>
      <x:c r="B150" s="7" t="str">
        <x:v>阿嬷手作</x:v>
      </x:c>
      <x:c r="C150" s="7" t="str">
        <x:v>芒果·河粉</x:v>
      </x:c>
      <x:c r="D150" s="7" t="str">
        <x:v>未注明</x:v>
      </x:c>
      <x:c r="E150" s="7" t="str">
        <x:v>未注明（估算暂按常规有糖，不是无糖配置）</x:v>
      </x:c>
      <x:c r="F150" s="10" t="n">
        <x:v>350</x:v>
      </x:c>
      <x:c r="G150" s="7" t="str">
        <x:v>240–500</x:v>
      </x:c>
      <x:c r="H150" s="7" t="str">
        <x:v>配料估算</x:v>
      </x:c>
      <x:c r="I150" s="7" t="str">
        <x:v>河粉状淀粉料（具体份量待核实）</x:v>
      </x:c>
      <x:c r="J150" s="12" t="str">
        <x:v>待核实</x:v>
      </x:c>
      <x:c r="K150" s="12" t="str"/>
      <x:c r="L150" s="7" t="str">
        <x:v>https://www.nckfhsm.com/brands/a-ma-shou-zuo/menu/available</x:v>
      </x:c>
      <x:c r="M150" s="7" t="str">
        <x:v>来源仅证明菜单/部分配料，不证明下列热量。假设芒果100–150g约60–100kcal+椰乳/乳基底约100–180kcal+西米/啵啵约50–100kcal+添加糖约40–100kcal；自带小料已算入。</x:v>
      </x:c>
      <x:c r="N150" s="7" t="str">
        <x:v>待用户核实在售状态、当地名称、杯容量、默认糖度、默认小料及份量。所有克数/毫升假设均不是已核实品牌配方；范围为估算包络，不是实测置信区间。</x:v>
      </x:c>
      <x:c r="O150" s="7" t="str">
        <x:v>2026-10-04</x:v>
      </x:c>
    </x:row>
    <x:row r="151" ht="63" customHeight="1">
      <x:c r="A151" s="9" t="str">
        <x:v>D150</x:v>
      </x:c>
      <x:c r="B151" s="9" t="str">
        <x:v>阿嬷手作</x:v>
      </x:c>
      <x:c r="C151" s="9" t="str">
        <x:v>龙眼栀子椰</x:v>
      </x:c>
      <x:c r="D151" s="9" t="str">
        <x:v>未注明</x:v>
      </x:c>
      <x:c r="E151" s="9" t="str">
        <x:v>未注明（估算暂按常规有糖，不是无糖配置）</x:v>
      </x:c>
      <x:c r="F151" s="11" t="n">
        <x:v>350</x:v>
      </x:c>
      <x:c r="G151" s="9" t="str">
        <x:v>240–500</x:v>
      </x:c>
      <x:c r="H151" s="9" t="str">
        <x:v>配料估算</x:v>
      </x:c>
      <x:c r="I151" s="9" t="str">
        <x:v>龙眼果肉、椰乳；模型替换芒果为龙眼</x:v>
      </x:c>
      <x:c r="J151" s="12" t="str">
        <x:v>待核实</x:v>
      </x:c>
      <x:c r="K151" s="12" t="str"/>
      <x:c r="L151" s="9" t="str">
        <x:v>https://www.nckfhsm.com/brands/a-ma-shou-zuo/menu/available</x:v>
      </x:c>
      <x:c r="M151" s="9" t="str">
        <x:v>来源仅证明菜单/部分配料，不证明下列热量。假设芒果100–150g约60–100kcal+椰乳/乳基底约100–180kcal+西米/啵啵约50–100kcal+添加糖约40–100kcal；自带小料已算入。</x:v>
      </x:c>
      <x:c r="N151" s="9" t="str">
        <x:v>待用户核实在售状态、当地名称、杯容量、默认糖度、默认小料及份量。所有克数/毫升假设均不是已核实品牌配方；范围为估算包络，不是实测置信区间。</x:v>
      </x:c>
      <x:c r="O151" s="9" t="str">
        <x:v>2026-10-04</x:v>
      </x:c>
    </x:row>
    <x:row r="152" ht="63" customHeight="1">
      <x:c r="A152" s="7" t="str">
        <x:v>D151</x:v>
      </x:c>
      <x:c r="B152" s="7" t="str">
        <x:v>阿嬷手作</x:v>
      </x:c>
      <x:c r="C152" s="7" t="str">
        <x:v>现碾·无花果</x:v>
      </x:c>
      <x:c r="D152" s="7" t="str">
        <x:v>未注明</x:v>
      </x:c>
      <x:c r="E152" s="7" t="str">
        <x:v>未注明（估算暂按常规有糖，不是无糖配置）</x:v>
      </x:c>
      <x:c r="F152" s="10" t="n">
        <x:v>300</x:v>
      </x:c>
      <x:c r="G152" s="7" t="str">
        <x:v>140–520</x:v>
      </x:c>
      <x:c r="H152" s="7" t="str">
        <x:v>配料估算</x:v>
      </x:c>
      <x:c r="I152" s="7" t="str">
        <x:v>无花果；乳/椰基底待核实，范围放宽</x:v>
      </x:c>
      <x:c r="J152" s="12" t="str">
        <x:v>待核实</x:v>
      </x:c>
      <x:c r="K152" s="12" t="str"/>
      <x:c r="L152" s="7" t="str">
        <x:v>https://www.nckfhsm.com/brands/a-ma-shou-zuo/menu/available</x:v>
      </x:c>
      <x:c r="M152" s="7" t="str">
        <x:v>来源仅证明菜单/部分配料，不证明下列热量。假设无花果100–150g约70–115kcal+糖约40–100kcal；是否另含牛乳/椰基底未确认，预留0–180kcal，优先核实配方。</x:v>
      </x:c>
      <x:c r="N152" s="7" t="str">
        <x:v>待用户核实在售状态、当地名称、杯容量、默认糖度、默认小料及份量。所有克数/毫升假设均不是已核实品牌配方；范围为估算包络，不是实测置信区间。</x:v>
      </x:c>
      <x:c r="O152" s="7" t="str">
        <x:v>2026-10-04</x:v>
      </x:c>
    </x:row>
    <x:row r="153" ht="46" customHeight="1">
      <x:c r="A153" s="9" t="str">
        <x:v>D152</x:v>
      </x:c>
      <x:c r="B153" s="9" t="str">
        <x:v>阿嬷手作</x:v>
      </x:c>
      <x:c r="C153" s="9" t="str">
        <x:v>蜜桃乌龙冰茶</x:v>
      </x:c>
      <x:c r="D153" s="9" t="str">
        <x:v>未注明</x:v>
      </x:c>
      <x:c r="E153" s="9" t="str">
        <x:v>未注明（估算暂按常规有糖，不是无糖配置）</x:v>
      </x:c>
      <x:c r="F153" s="11" t="n">
        <x:v>210</x:v>
      </x:c>
      <x:c r="G153" s="9" t="str">
        <x:v>120–340</x:v>
      </x:c>
      <x:c r="H153" s="9" t="str">
        <x:v>配料估算</x:v>
      </x:c>
      <x:c r="I153" s="9" t="str">
        <x:v>蜜桃果肉/果汁</x:v>
      </x:c>
      <x:c r="J153" s="12" t="str">
        <x:v>待核实</x:v>
      </x:c>
      <x:c r="K153" s="12" t="str"/>
      <x:c r="L153" s="9" t="str">
        <x:v>https://www.nckfhsm.com/brands/a-ma-shou-zuo/menu/available</x:v>
      </x:c>
      <x:c r="M153" s="9" t="str">
        <x:v>来源仅证明菜单/部分配料，不证明下列热量。假设果汁/果肉约80–160kcal+添加糖15–30g约60–120kcal；不按杯容量全部视为果汁。份量为研究假设。</x:v>
      </x:c>
      <x:c r="N153" s="9" t="str">
        <x:v>待用户核实在售状态、当地名称、杯容量、默认糖度、默认小料及份量。所有克数/毫升假设均不是已核实品牌配方；范围为估算包络，不是实测置信区间。</x:v>
      </x:c>
      <x:c r="O153" s="9" t="str">
        <x:v>2026-10-04</x:v>
      </x:c>
    </x:row>
    <x:row r="154" ht="46" customHeight="1">
      <x:c r="A154" s="7" t="str">
        <x:v>D153</x:v>
      </x:c>
      <x:c r="B154" s="7" t="str">
        <x:v>柠季</x:v>
      </x:c>
      <x:c r="C154" s="7" t="str">
        <x:v>鸭屎香柠檬茶</x:v>
      </x:c>
      <x:c r="D154" s="7" t="str">
        <x:v>480ml</x:v>
      </x:c>
      <x:c r="E154" s="7" t="str">
        <x:v>未注明（估算暂按常规有糖，不是无糖配置）</x:v>
      </x:c>
      <x:c r="F154" s="10" t="n">
        <x:v>130</x:v>
      </x:c>
      <x:c r="G154" s="7" t="str">
        <x:v>80–210</x:v>
      </x:c>
      <x:c r="H154" s="7" t="str">
        <x:v>配料估算</x:v>
      </x:c>
      <x:c r="I154" s="7" t="str">
        <x:v>未见固体小料</x:v>
      </x:c>
      <x:c r="J154" s="12" t="str">
        <x:v>待核实</x:v>
      </x:c>
      <x:c r="K154" s="12" t="str"/>
      <x:c r="L154" s="7" t="str">
        <x:v>https://www.nckfhsm.com/brands/ning-ji/menu/available</x:v>
      </x:c>
      <x:c r="M154" s="7" t="str">
        <x:v>来源仅证明菜单/部分配料，不证明下列热量。假设添加糖20–35g约80–140kcal+柠檬汁/果肉约10–30kcal，茶汤近零；份量为研究假设。</x:v>
      </x:c>
      <x:c r="N154" s="7" t="str">
        <x:v>待用户核实在售状态、当地名称、杯容量、默认糖度、默认小料及份量。所有克数/毫升假设均不是已核实品牌配方；范围为估算包络，不是实测置信区间。</x:v>
      </x:c>
      <x:c r="O154" s="7" t="str">
        <x:v>2026-10-04</x:v>
      </x:c>
    </x:row>
    <x:row r="155" ht="46" customHeight="1">
      <x:c r="A155" s="9" t="str">
        <x:v>D154</x:v>
      </x:c>
      <x:c r="B155" s="9" t="str">
        <x:v>柠季</x:v>
      </x:c>
      <x:c r="C155" s="9" t="str">
        <x:v>茉莉手打柠檬茶</x:v>
      </x:c>
      <x:c r="D155" s="9" t="str">
        <x:v>480ml</x:v>
      </x:c>
      <x:c r="E155" s="9" t="str">
        <x:v>未注明（估算暂按常规有糖，不是无糖配置）</x:v>
      </x:c>
      <x:c r="F155" s="11" t="n">
        <x:v>130</x:v>
      </x:c>
      <x:c r="G155" s="9" t="str">
        <x:v>80–210</x:v>
      </x:c>
      <x:c r="H155" s="9" t="str">
        <x:v>配料估算</x:v>
      </x:c>
      <x:c r="I155" s="9" t="str">
        <x:v>未见固体小料</x:v>
      </x:c>
      <x:c r="J155" s="12" t="str">
        <x:v>待核实</x:v>
      </x:c>
      <x:c r="K155" s="12" t="str"/>
      <x:c r="L155" s="9" t="str">
        <x:v>https://www.nckfhsm.com/brands/ning-ji/menu/available</x:v>
      </x:c>
      <x:c r="M155" s="9" t="str">
        <x:v>来源仅证明菜单/部分配料，不证明下列热量。假设添加糖20–35g约80–140kcal+柠檬汁/果肉约10–30kcal，茶汤近零；份量为研究假设。</x:v>
      </x:c>
      <x:c r="N155" s="9" t="str">
        <x:v>待用户核实在售状态、当地名称、杯容量、默认糖度、默认小料及份量。所有克数/毫升假设均不是已核实品牌配方；范围为估算包络，不是实测置信区间。</x:v>
      </x:c>
      <x:c r="O155" s="9" t="str">
        <x:v>2026-10-04</x:v>
      </x:c>
    </x:row>
    <x:row r="156" ht="46" customHeight="1">
      <x:c r="A156" s="7" t="str">
        <x:v>D155</x:v>
      </x:c>
      <x:c r="B156" s="7" t="str">
        <x:v>柠季</x:v>
      </x:c>
      <x:c r="C156" s="7" t="str">
        <x:v>特浓手打柠檬茶</x:v>
      </x:c>
      <x:c r="D156" s="7" t="str">
        <x:v>480–1000ml；暂按480ml</x:v>
      </x:c>
      <x:c r="E156" s="7" t="str">
        <x:v>未注明（估算暂按常规有糖，不是无糖配置）</x:v>
      </x:c>
      <x:c r="F156" s="10" t="n">
        <x:v>130</x:v>
      </x:c>
      <x:c r="G156" s="7" t="str">
        <x:v>80–210</x:v>
      </x:c>
      <x:c r="H156" s="7" t="str">
        <x:v>配料估算</x:v>
      </x:c>
      <x:c r="I156" s="7" t="str">
        <x:v>未见固体小料</x:v>
      </x:c>
      <x:c r="J156" s="12" t="str">
        <x:v>待核实</x:v>
      </x:c>
      <x:c r="K156" s="12" t="str"/>
      <x:c r="L156" s="7" t="str">
        <x:v>https://www.nckfhsm.com/brands/ning-ji/menu/available</x:v>
      </x:c>
      <x:c r="M156" s="7" t="str">
        <x:v>来源仅证明菜单/部分配料，不证明下列热量。假设添加糖20–35g约80–140kcal+柠檬汁/果肉约10–30kcal，茶汤近零；份量为研究假设。</x:v>
      </x:c>
      <x:c r="N156" s="7" t="str">
        <x:v>待用户核实在售状态、当地名称、杯容量、默认糖度、默认小料及份量。所有克数/毫升假设均不是已核实品牌配方；范围为估算包络，不是实测置信区间。</x:v>
      </x:c>
      <x:c r="O156" s="7" t="str">
        <x:v>2026-10-04</x:v>
      </x:c>
    </x:row>
    <x:row r="157" ht="46" customHeight="1">
      <x:c r="A157" s="9" t="str">
        <x:v>D156</x:v>
      </x:c>
      <x:c r="B157" s="9" t="str">
        <x:v>柠季</x:v>
      </x:c>
      <x:c r="C157" s="9" t="str">
        <x:v>传统手打柠檬茶</x:v>
      </x:c>
      <x:c r="D157" s="9" t="str">
        <x:v>480ml</x:v>
      </x:c>
      <x:c r="E157" s="9" t="str">
        <x:v>未注明（估算暂按常规有糖，不是无糖配置）</x:v>
      </x:c>
      <x:c r="F157" s="11" t="n">
        <x:v>130</x:v>
      </x:c>
      <x:c r="G157" s="9" t="str">
        <x:v>80–210</x:v>
      </x:c>
      <x:c r="H157" s="9" t="str">
        <x:v>配料估算</x:v>
      </x:c>
      <x:c r="I157" s="9" t="str">
        <x:v>未见固体小料</x:v>
      </x:c>
      <x:c r="J157" s="12" t="str">
        <x:v>待核实</x:v>
      </x:c>
      <x:c r="K157" s="12" t="str"/>
      <x:c r="L157" s="9" t="str">
        <x:v>https://www.nckfhsm.com/brands/ning-ji/menu/available</x:v>
      </x:c>
      <x:c r="M157" s="9" t="str">
        <x:v>来源仅证明菜单/部分配料，不证明下列热量。假设添加糖20–35g约80–140kcal+柠檬汁/果肉约10–30kcal，茶汤近零；份量为研究假设。</x:v>
      </x:c>
      <x:c r="N157" s="9" t="str">
        <x:v>待用户核实在售状态、当地名称、杯容量、默认糖度、默认小料及份量。所有克数/毫升假设均不是已核实品牌配方；范围为估算包络，不是实测置信区间。</x:v>
      </x:c>
      <x:c r="O157" s="9" t="str">
        <x:v>2026-10-04</x:v>
      </x:c>
    </x:row>
    <x:row r="158" ht="46" customHeight="1">
      <x:c r="A158" s="7" t="str">
        <x:v>D157</x:v>
      </x:c>
      <x:c r="B158" s="7" t="str">
        <x:v>柠季</x:v>
      </x:c>
      <x:c r="C158" s="7" t="str">
        <x:v>热情百香柠檬茶</x:v>
      </x:c>
      <x:c r="D158" s="7" t="str">
        <x:v>600ml</x:v>
      </x:c>
      <x:c r="E158" s="7" t="str">
        <x:v>未注明（估算暂按常规有糖，不是无糖配置）</x:v>
      </x:c>
      <x:c r="F158" s="10" t="n">
        <x:v>210</x:v>
      </x:c>
      <x:c r="G158" s="7" t="str">
        <x:v>120–340</x:v>
      </x:c>
      <x:c r="H158" s="7" t="str">
        <x:v>配料估算</x:v>
      </x:c>
      <x:c r="I158" s="7" t="str">
        <x:v>百香果果肉/果汁</x:v>
      </x:c>
      <x:c r="J158" s="12" t="str">
        <x:v>待核实</x:v>
      </x:c>
      <x:c r="K158" s="12" t="str"/>
      <x:c r="L158" s="7" t="str">
        <x:v>https://www.nckfhsm.com/brands/ning-ji/menu/available</x:v>
      </x:c>
      <x:c r="M158" s="7" t="str">
        <x:v>来源仅证明菜单/部分配料，不证明下列热量。假设果汁/果肉约80–160kcal+添加糖15–30g约60–120kcal；不按杯容量全部视为果汁。份量为研究假设。</x:v>
      </x:c>
      <x:c r="N158" s="7" t="str">
        <x:v>待用户核实在售状态、当地名称、杯容量、默认糖度、默认小料及份量。所有克数/毫升假设均不是已核实品牌配方；范围为估算包络，不是实测置信区间。</x:v>
      </x:c>
      <x:c r="O158" s="7" t="str">
        <x:v>2026-10-04</x:v>
      </x:c>
    </x:row>
    <x:row r="159" ht="46" customHeight="1">
      <x:c r="A159" s="9" t="str">
        <x:v>D158</x:v>
      </x:c>
      <x:c r="B159" s="9" t="str">
        <x:v>柠季</x:v>
      </x:c>
      <x:c r="C159" s="9" t="str">
        <x:v>小钵子甜酒柠檬茶（超大杯）</x:v>
      </x:c>
      <x:c r="D159" s="9" t="str">
        <x:v>1000ml</x:v>
      </x:c>
      <x:c r="E159" s="9" t="str">
        <x:v>未注明（估算暂按常规有糖，不是无糖配置）</x:v>
      </x:c>
      <x:c r="F159" s="11" t="n">
        <x:v>410</x:v>
      </x:c>
      <x:c r="G159" s="9" t="str">
        <x:v>260–650</x:v>
      </x:c>
      <x:c r="H159" s="9" t="str">
        <x:v>配料估算</x:v>
      </x:c>
      <x:c r="I159" s="9" t="str">
        <x:v>甜酒米酿；见专用模型</x:v>
      </x:c>
      <x:c r="J159" s="12" t="str">
        <x:v>待核实</x:v>
      </x:c>
      <x:c r="K159" s="12" t="str"/>
      <x:c r="L159" s="9" t="str">
        <x:v>https://www.nckfhsm.com/brands/ning-ji/menu/available</x:v>
      </x:c>
      <x:c r="M159" s="9" t="str">
        <x:v>来源仅证明菜单/部分配料，不证明下列热量。1000ml假设糖约120–220kcal+甜酒米酿100–150g约100–180kcal+柠檬约20–40kcal。</x:v>
      </x:c>
      <x:c r="N159" s="9" t="str">
        <x:v>待用户核实在售状态、当地名称、杯容量、默认糖度、默认小料及份量。所有克数/毫升假设均不是已核实品牌配方；范围为估算包络，不是实测置信区间。</x:v>
      </x:c>
      <x:c r="O159" s="9" t="str">
        <x:v>2026-10-04</x:v>
      </x:c>
    </x:row>
    <x:row r="160" ht="63" customHeight="1">
      <x:c r="A160" s="7" t="str">
        <x:v>D159</x:v>
      </x:c>
      <x:c r="B160" s="7" t="str">
        <x:v>柠季</x:v>
      </x:c>
      <x:c r="C160" s="7" t="str">
        <x:v>芝士奶盖铁观音乌龙茶</x:v>
      </x:c>
      <x:c r="D160" s="7" t="str">
        <x:v>480ml</x:v>
      </x:c>
      <x:c r="E160" s="7" t="str">
        <x:v>未注明（估算暂按常规有糖，不是无糖配置）</x:v>
      </x:c>
      <x:c r="F160" s="10" t="n">
        <x:v>220</x:v>
      </x:c>
      <x:c r="G160" s="7" t="str">
        <x:v>130–370</x:v>
      </x:c>
      <x:c r="H160" s="7" t="str">
        <x:v>配料估算</x:v>
      </x:c>
      <x:c r="I160" s="7" t="str">
        <x:v>芝士奶盖；茶基底无牛乳假设，见注释</x:v>
      </x:c>
      <x:c r="J160" s="12" t="str">
        <x:v>待核实</x:v>
      </x:c>
      <x:c r="K160" s="12" t="str"/>
      <x:c r="L160" s="7" t="str">
        <x:v>https://www.nckfhsm.com/brands/ning-ji/menu/available</x:v>
      </x:c>
      <x:c r="M160" s="7" t="str">
        <x:v>来源仅证明菜单/部分配料，不证明下列热量。假设纯茶近0kcal+糖15–30g约60–120kcal+芝士奶盖30–50g约100–180kcal；不假设另加牛乳。</x:v>
      </x:c>
      <x:c r="N160" s="7" t="str">
        <x:v>待用户核实在售状态、当地名称、杯容量、默认糖度、默认小料及份量。所有克数/毫升假设均不是已核实品牌配方；范围为估算包络，不是实测置信区间。</x:v>
      </x:c>
      <x:c r="O160" s="7" t="str">
        <x:v>2026-10-04</x:v>
      </x:c>
    </x:row>
    <x:row r="161" ht="63" customHeight="1">
      <x:c r="A161" s="9" t="str">
        <x:v>D160</x:v>
      </x:c>
      <x:c r="B161" s="9" t="str">
        <x:v>柠季</x:v>
      </x:c>
      <x:c r="C161" s="9" t="str">
        <x:v>芝士奶盖茉莉花茶</x:v>
      </x:c>
      <x:c r="D161" s="9" t="str">
        <x:v>480ml</x:v>
      </x:c>
      <x:c r="E161" s="9" t="str">
        <x:v>未注明（估算暂按常规有糖，不是无糖配置）</x:v>
      </x:c>
      <x:c r="F161" s="11" t="n">
        <x:v>220</x:v>
      </x:c>
      <x:c r="G161" s="9" t="str">
        <x:v>130–370</x:v>
      </x:c>
      <x:c r="H161" s="9" t="str">
        <x:v>配料估算</x:v>
      </x:c>
      <x:c r="I161" s="9" t="str">
        <x:v>芝士奶盖；茶基底无牛乳假设，见注释</x:v>
      </x:c>
      <x:c r="J161" s="12" t="str">
        <x:v>待核实</x:v>
      </x:c>
      <x:c r="K161" s="12" t="str"/>
      <x:c r="L161" s="9" t="str">
        <x:v>https://www.nckfhsm.com/brands/ning-ji/menu/available</x:v>
      </x:c>
      <x:c r="M161" s="9" t="str">
        <x:v>来源仅证明菜单/部分配料，不证明下列热量。假设纯茶近0kcal+糖15–30g约60–120kcal+芝士奶盖30–50g约100–180kcal；不假设另加牛乳。</x:v>
      </x:c>
      <x:c r="N161" s="9" t="str">
        <x:v>待用户核实在售状态、当地名称、杯容量、默认糖度、默认小料及份量。所有克数/毫升假设均不是已核实品牌配方；范围为估算包络，不是实测置信区间。</x:v>
      </x:c>
      <x:c r="O161" s="9" t="str">
        <x:v>2026-10-04</x:v>
      </x:c>
    </x:row>
    <x:row r="162" ht="46" customHeight="1">
      <x:c r="A162" s="7" t="str">
        <x:v>D161</x:v>
      </x:c>
      <x:c r="B162" s="7" t="str">
        <x:v>LINLEE 林里</x:v>
      </x:c>
      <x:c r="C162" s="7" t="str">
        <x:v>招牌手打柠檬茶</x:v>
      </x:c>
      <x:c r="D162" s="7" t="str">
        <x:v>未注明</x:v>
      </x:c>
      <x:c r="E162" s="7" t="str">
        <x:v>未注明</x:v>
      </x:c>
      <x:c r="F162" s="10" t="n">
        <x:v>180</x:v>
      </x:c>
      <x:c r="G162" s="7" t="str">
        <x:v>110–260</x:v>
      </x:c>
      <x:c r="H162" s="7" t="str">
        <x:v>配料估算</x:v>
      </x:c>
      <x:c r="I162" s="7" t="str">
        <x:v>柠檬</x:v>
      </x:c>
      <x:c r="J162" s="12" t="str">
        <x:v>待核实</x:v>
      </x:c>
      <x:c r="K162" s="12" t="str"/>
      <x:c r="L162" s="7" t="str">
        <x:v>https://you.ctrip.com/food/152/136615890.html</x:v>
      </x:c>
      <x:c r="M162" s="7" t="str">
        <x:v>携程广州门店列出品名，未提供热量；按添加糖约40g=160kcal，加柠檬可食部分约20kcal；未获取品牌糖用量。</x:v>
      </x:c>
      <x:c r="N162" s="7" t="str">
        <x:v>核实本地门店是否在售、杯型容量、默认糖度和真实配方；估算份量不是品牌披露。</x:v>
      </x:c>
      <x:c r="O162" s="7" t="str">
        <x:v>2026-10-04</x:v>
      </x:c>
    </x:row>
    <x:row r="163" ht="46" customHeight="1">
      <x:c r="A163" s="9" t="str">
        <x:v>D162</x:v>
      </x:c>
      <x:c r="B163" s="9" t="str">
        <x:v>LINLEE 林里</x:v>
      </x:c>
      <x:c r="C163" s="9" t="str">
        <x:v>单丛鸭屎香手打柠檬茶</x:v>
      </x:c>
      <x:c r="D163" s="9" t="str">
        <x:v>未注明</x:v>
      </x:c>
      <x:c r="E163" s="9" t="str">
        <x:v>未注明</x:v>
      </x:c>
      <x:c r="F163" s="11" t="n">
        <x:v>180</x:v>
      </x:c>
      <x:c r="G163" s="9" t="str">
        <x:v>110–260</x:v>
      </x:c>
      <x:c r="H163" s="9" t="str">
        <x:v>配料估算</x:v>
      </x:c>
      <x:c r="I163" s="9" t="str">
        <x:v>柠檬</x:v>
      </x:c>
      <x:c r="J163" s="12" t="str">
        <x:v>待核实</x:v>
      </x:c>
      <x:c r="K163" s="12" t="str"/>
      <x:c r="L163" s="9" t="str">
        <x:v>https://you.ctrip.com/food/152/136615890.html</x:v>
      </x:c>
      <x:c r="M163" s="9" t="str">
        <x:v>携程广州门店列出品名，未提供热量；按添加糖约40g=160kcal，加柠檬约20kcal。</x:v>
      </x:c>
      <x:c r="N163" s="9" t="str">
        <x:v>核实本地门店是否在售、杯型容量、默认糖度和真实配方；估算份量不是品牌披露。</x:v>
      </x:c>
      <x:c r="O163" s="9" t="str">
        <x:v>2026-10-04</x:v>
      </x:c>
    </x:row>
    <x:row r="164" ht="46" customHeight="1">
      <x:c r="A164" s="7" t="str">
        <x:v>D163</x:v>
      </x:c>
      <x:c r="B164" s="7" t="str">
        <x:v>LINLEE 林里</x:v>
      </x:c>
      <x:c r="C164" s="7" t="str">
        <x:v>清新手打柠檬茶</x:v>
      </x:c>
      <x:c r="D164" s="7" t="str">
        <x:v>未注明</x:v>
      </x:c>
      <x:c r="E164" s="7" t="str">
        <x:v>未注明</x:v>
      </x:c>
      <x:c r="F164" s="10" t="n">
        <x:v>160</x:v>
      </x:c>
      <x:c r="G164" s="7" t="str">
        <x:v>90–240</x:v>
      </x:c>
      <x:c r="H164" s="7" t="str">
        <x:v>配料估算</x:v>
      </x:c>
      <x:c r="I164" s="7" t="str">
        <x:v>柠檬</x:v>
      </x:c>
      <x:c r="J164" s="12" t="str">
        <x:v>待核实</x:v>
      </x:c>
      <x:c r="K164" s="12" t="str"/>
      <x:c r="L164" s="7" t="str">
        <x:v>https://you.ctrip.com/food/152/136615890.html</x:v>
      </x:c>
      <x:c r="M164" s="7" t="str">
        <x:v>携程广州门店列出品名，未提供热量；按添加糖约35g=140kcal，加柠檬约20kcal。</x:v>
      </x:c>
      <x:c r="N164" s="7" t="str">
        <x:v>核实本地门店是否在售、杯型容量、默认糖度和真实配方；估算份量不是品牌披露。</x:v>
      </x:c>
      <x:c r="O164" s="7" t="str">
        <x:v>2026-10-04</x:v>
      </x:c>
    </x:row>
    <x:row r="165" ht="46" customHeight="1">
      <x:c r="A165" s="9" t="str">
        <x:v>D164</x:v>
      </x:c>
      <x:c r="B165" s="9" t="str">
        <x:v>LINLEE 林里</x:v>
      </x:c>
      <x:c r="C165" s="9" t="str">
        <x:v>海底椰手打冰柠茶</x:v>
      </x:c>
      <x:c r="D165" s="9" t="str">
        <x:v>未注明</x:v>
      </x:c>
      <x:c r="E165" s="9" t="str">
        <x:v>未注明</x:v>
      </x:c>
      <x:c r="F165" s="11" t="n">
        <x:v>270</x:v>
      </x:c>
      <x:c r="G165" s="9" t="str">
        <x:v>180–420</x:v>
      </x:c>
      <x:c r="H165" s="9" t="str">
        <x:v>配料估算</x:v>
      </x:c>
      <x:c r="I165" s="9" t="str">
        <x:v>柠檬；椰乳已计入</x:v>
      </x:c>
      <x:c r="J165" s="12" t="str">
        <x:v>待核实</x:v>
      </x:c>
      <x:c r="K165" s="12" t="str"/>
      <x:c r="L165" s="9" t="str">
        <x:v>https://you.ctrip.com/food/152/136615890.html</x:v>
      </x:c>
      <x:c r="M165" s="9" t="str">
        <x:v>携程广州门店列出品名，未提供热量；假设椰乳基底提供约150kcal、添加糖25g约100kcal、柠檬约20kcal；椰乳配方未知。</x:v>
      </x:c>
      <x:c r="N165" s="9" t="str">
        <x:v>核实本地门店是否在售、杯型容量、默认糖度和真实配方；估算份量不是品牌披露。</x:v>
      </x:c>
      <x:c r="O165" s="9" t="str">
        <x:v>2026-10-04</x:v>
      </x:c>
    </x:row>
    <x:row r="166" ht="46" customHeight="1">
      <x:c r="A166" s="7" t="str">
        <x:v>D165</x:v>
      </x:c>
      <x:c r="B166" s="7" t="str">
        <x:v>LINLEE 林里</x:v>
      </x:c>
      <x:c r="C166" s="7" t="str">
        <x:v>西瓜冰柠茶</x:v>
      </x:c>
      <x:c r="D166" s="7" t="str">
        <x:v>未注明</x:v>
      </x:c>
      <x:c r="E166" s="7" t="str">
        <x:v>未注明</x:v>
      </x:c>
      <x:c r="F166" s="10" t="n">
        <x:v>200</x:v>
      </x:c>
      <x:c r="G166" s="7" t="str">
        <x:v>120–300</x:v>
      </x:c>
      <x:c r="H166" s="7" t="str">
        <x:v>配料估算</x:v>
      </x:c>
      <x:c r="I166" s="7" t="str">
        <x:v>西瓜、柠檬</x:v>
      </x:c>
      <x:c r="J166" s="12" t="str">
        <x:v>待核实</x:v>
      </x:c>
      <x:c r="K166" s="12" t="str"/>
      <x:c r="L166" s="7" t="str">
        <x:v>https://you.ctrip.com/food/152/136615890.html</x:v>
      </x:c>
      <x:c r="M166" s="7" t="str">
        <x:v>携程广州门店列出品名，未提供热量；假设西瓜果肉150g约45kcal、柠檬约15kcal、添加糖35g约140kcal。</x:v>
      </x:c>
      <x:c r="N166" s="7" t="str">
        <x:v>核实本地门店是否在售、杯型容量、默认糖度和真实配方；估算份量不是品牌披露。</x:v>
      </x:c>
      <x:c r="O166" s="7" t="str">
        <x:v>2026-10-04</x:v>
      </x:c>
    </x:row>
    <x:row r="167" ht="46" customHeight="1">
      <x:c r="A167" s="9" t="str">
        <x:v>D166</x:v>
      </x:c>
      <x:c r="B167" s="9" t="str">
        <x:v>LINLEE 林里</x:v>
      </x:c>
      <x:c r="C167" s="9" t="str">
        <x:v>苹果冰柠茶</x:v>
      </x:c>
      <x:c r="D167" s="9" t="str">
        <x:v>未注明</x:v>
      </x:c>
      <x:c r="E167" s="9" t="str">
        <x:v>未注明</x:v>
      </x:c>
      <x:c r="F167" s="11" t="n">
        <x:v>230</x:v>
      </x:c>
      <x:c r="G167" s="9" t="str">
        <x:v>140–340</x:v>
      </x:c>
      <x:c r="H167" s="9" t="str">
        <x:v>配料估算</x:v>
      </x:c>
      <x:c r="I167" s="9" t="str">
        <x:v>苹果、柠檬</x:v>
      </x:c>
      <x:c r="J167" s="12" t="str">
        <x:v>待核实</x:v>
      </x:c>
      <x:c r="K167" s="12" t="str"/>
      <x:c r="L167" s="9" t="str">
        <x:v>https://you.ctrip.com/food/152/136615890.html</x:v>
      </x:c>
      <x:c r="M167" s="9" t="str">
        <x:v>携程广州门店列出品名，未提供热量；假设苹果果肉/果汁约70kcal、柠檬约20kcal、添加糖35g约140kcal。</x:v>
      </x:c>
      <x:c r="N167" s="9" t="str">
        <x:v>核实本地门店是否在售、杯型容量、默认糖度和真实配方；估算份量不是品牌披露。</x:v>
      </x:c>
      <x:c r="O167" s="9" t="str">
        <x:v>2026-10-04</x:v>
      </x:c>
    </x:row>
    <x:row r="168" ht="46" customHeight="1">
      <x:c r="A168" s="7" t="str">
        <x:v>D167</x:v>
      </x:c>
      <x:c r="B168" s="7" t="str">
        <x:v>LINLEE 林里</x:v>
      </x:c>
      <x:c r="C168" s="7" t="str">
        <x:v>香柠椰青水</x:v>
      </x:c>
      <x:c r="D168" s="7" t="str">
        <x:v>未注明</x:v>
      </x:c>
      <x:c r="E168" s="7" t="str">
        <x:v>未注明</x:v>
      </x:c>
      <x:c r="F168" s="10" t="n">
        <x:v>170</x:v>
      </x:c>
      <x:c r="G168" s="7" t="str">
        <x:v>90–270</x:v>
      </x:c>
      <x:c r="H168" s="7" t="str">
        <x:v>配料估算</x:v>
      </x:c>
      <x:c r="I168" s="7" t="str">
        <x:v>柠檬；椰子水已计入</x:v>
      </x:c>
      <x:c r="J168" s="12" t="str">
        <x:v>待核实</x:v>
      </x:c>
      <x:c r="K168" s="12" t="str"/>
      <x:c r="L168" s="7" t="str">
        <x:v>https://you.ctrip.com/food/152/136615890.html</x:v>
      </x:c>
      <x:c r="M168" s="7" t="str">
        <x:v>携程广州门店列出品名，未提供热量；假设椰子水300ml约60kcal、添加糖25g约100kcal、柠檬约10kcal。</x:v>
      </x:c>
      <x:c r="N168" s="7" t="str">
        <x:v>核实本地门店是否在售、杯型容量、默认糖度和真实配方；估算份量不是品牌披露。</x:v>
      </x:c>
      <x:c r="O168" s="7" t="str">
        <x:v>2026-10-04</x:v>
      </x:c>
    </x:row>
    <x:row r="169" ht="46" customHeight="1">
      <x:c r="A169" s="9" t="str">
        <x:v>D168</x:v>
      </x:c>
      <x:c r="B169" s="9" t="str">
        <x:v>LINLEE 林里</x:v>
      </x:c>
      <x:c r="C169" s="9" t="str">
        <x:v>空山乌龙鲜奶茶</x:v>
      </x:c>
      <x:c r="D169" s="9" t="str">
        <x:v>未注明</x:v>
      </x:c>
      <x:c r="E169" s="9" t="str">
        <x:v>未注明</x:v>
      </x:c>
      <x:c r="F169" s="11" t="n">
        <x:v>240</x:v>
      </x:c>
      <x:c r="G169" s="9" t="str">
        <x:v>150–350</x:v>
      </x:c>
      <x:c r="H169" s="9" t="str">
        <x:v>配料估算</x:v>
      </x:c>
      <x:c r="I169" s="9" t="str">
        <x:v>鲜奶已计入</x:v>
      </x:c>
      <x:c r="J169" s="12" t="str">
        <x:v>待核实</x:v>
      </x:c>
      <x:c r="K169" s="12" t="str"/>
      <x:c r="L169" s="9" t="str">
        <x:v>https://you.ctrip.com/food/152/136615890.html</x:v>
      </x:c>
      <x:c r="M169" s="9" t="str">
        <x:v>携程广州门店列出品名，未提供热量；假设牛奶200g约122kcal、添加糖30g约120kcal，茶底能量很低。</x:v>
      </x:c>
      <x:c r="N169" s="9" t="str">
        <x:v>核实本地门店是否在售、杯型容量、默认糖度和真实配方；估算份量不是品牌披露。</x:v>
      </x:c>
      <x:c r="O169" s="9" t="str">
        <x:v>2026-10-04</x:v>
      </x:c>
    </x:row>
    <x:row r="170" ht="63" customHeight="1">
      <x:c r="A170" s="7" t="str">
        <x:v>D169</x:v>
      </x:c>
      <x:c r="B170" s="7" t="str">
        <x:v>快乐柠檬</x:v>
      </x:c>
      <x:c r="C170" s="7" t="str">
        <x:v>大红袍真香冻柠茶</x:v>
      </x:c>
      <x:c r="D170" s="7" t="str">
        <x:v>未注明</x:v>
      </x:c>
      <x:c r="E170" s="7" t="str">
        <x:v>未注明</x:v>
      </x:c>
      <x:c r="F170" s="10" t="n">
        <x:v>120</x:v>
      </x:c>
      <x:c r="G170" s="7" t="str">
        <x:v>28–218</x:v>
      </x:c>
      <x:c r="H170" s="7" t="str">
        <x:v>第三方参考</x:v>
      </x:c>
      <x:c r="I170" s="7" t="str">
        <x:v>柠檬</x:v>
      </x:c>
      <x:c r="J170" s="12" t="str">
        <x:v>待核实</x:v>
      </x:c>
      <x:c r="K170" s="12" t="str"/>
      <x:c r="L170" s="7" t="str">
        <x:v>https://www.nckfhsm.com/products/da-hong-pao-zhen-xiang-dong-ning-cha</x:v>
      </x:c>
      <x:c r="M170" s="7" t="str">
        <x:v>第三方页面直接列出热量区间；kcal为区间取整代表值，未能对应具体配置，不是某糖度实测值。</x:v>
      </x:c>
      <x:c r="N170" s="7" t="str">
        <x:v>优先核实区间两端对应杯型、糖度、加料；第三方未说明检测来源，不应作为官方值。</x:v>
      </x:c>
      <x:c r="O170" s="7" t="str">
        <x:v>2026-10-04</x:v>
      </x:c>
    </x:row>
    <x:row r="171" ht="63" customHeight="1">
      <x:c r="A171" s="9" t="str">
        <x:v>D170</x:v>
      </x:c>
      <x:c r="B171" s="9" t="str">
        <x:v>快乐柠檬</x:v>
      </x:c>
      <x:c r="C171" s="9" t="str">
        <x:v>招牌小金桔柠檬茶</x:v>
      </x:c>
      <x:c r="D171" s="9" t="str">
        <x:v>未注明</x:v>
      </x:c>
      <x:c r="E171" s="9" t="str">
        <x:v>未注明</x:v>
      </x:c>
      <x:c r="F171" s="11" t="n">
        <x:v>300</x:v>
      </x:c>
      <x:c r="G171" s="9" t="str">
        <x:v>153–458</x:v>
      </x:c>
      <x:c r="H171" s="9" t="str">
        <x:v>第三方参考</x:v>
      </x:c>
      <x:c r="I171" s="9" t="str">
        <x:v>金桔、柠檬</x:v>
      </x:c>
      <x:c r="J171" s="12" t="str">
        <x:v>待核实</x:v>
      </x:c>
      <x:c r="K171" s="12" t="str"/>
      <x:c r="L171" s="9" t="str">
        <x:v>https://www.nckfhsm.com/products/zhao-pai-xiao-jin-ju-ning-meng-cha</x:v>
      </x:c>
      <x:c r="M171" s="9" t="str">
        <x:v>第三方页面直接列出热量区间；kcal为区间取整代表值，未能对应具体配置，不是某糖度实测值。</x:v>
      </x:c>
      <x:c r="N171" s="9" t="str">
        <x:v>优先核实区间两端对应杯型、糖度、加料；第三方未说明检测来源，不应作为官方值。</x:v>
      </x:c>
      <x:c r="O171" s="9" t="str">
        <x:v>2026-10-04</x:v>
      </x:c>
    </x:row>
    <x:row r="172" ht="46" customHeight="1">
      <x:c r="A172" s="7" t="str">
        <x:v>D171</x:v>
      </x:c>
      <x:c r="B172" s="7" t="str">
        <x:v>快乐柠檬</x:v>
      </x:c>
      <x:c r="C172" s="7" t="str">
        <x:v>岩盐芝士奶茶</x:v>
      </x:c>
      <x:c r="D172" s="7" t="str">
        <x:v>未注明</x:v>
      </x:c>
      <x:c r="E172" s="7" t="str">
        <x:v>未注明</x:v>
      </x:c>
      <x:c r="F172" s="10" t="n">
        <x:v>530</x:v>
      </x:c>
      <x:c r="G172" s="7" t="str">
        <x:v>296–756</x:v>
      </x:c>
      <x:c r="H172" s="7" t="str">
        <x:v>第三方参考</x:v>
      </x:c>
      <x:c r="I172" s="7" t="str">
        <x:v>芝士奶盖</x:v>
      </x:c>
      <x:c r="J172" s="12" t="str">
        <x:v>待核实</x:v>
      </x:c>
      <x:c r="K172" s="12" t="str"/>
      <x:c r="L172" s="7" t="str">
        <x:v>https://www.nckfhsm.com/products/yan-yan-zhi-shi-nai-cha</x:v>
      </x:c>
      <x:c r="M172" s="7" t="str">
        <x:v>第三方页面直接列出热量区间；kcal为区间取整代表值，未能对应具体配置，不是某糖度实测值。</x:v>
      </x:c>
      <x:c r="N172" s="7" t="str">
        <x:v>优先核实区间两端对应杯型、糖度、加料；第三方未说明检测来源，不应作为官方值。</x:v>
      </x:c>
      <x:c r="O172" s="7" t="str">
        <x:v>2026-10-04</x:v>
      </x:c>
    </x:row>
    <x:row r="173" ht="46" customHeight="1">
      <x:c r="A173" s="9" t="str">
        <x:v>D172</x:v>
      </x:c>
      <x:c r="B173" s="9" t="str">
        <x:v>快乐柠檬</x:v>
      </x:c>
      <x:c r="C173" s="9" t="str">
        <x:v>岩盐芝士奇兰</x:v>
      </x:c>
      <x:c r="D173" s="9" t="str">
        <x:v>未注明</x:v>
      </x:c>
      <x:c r="E173" s="9" t="str">
        <x:v>未注明</x:v>
      </x:c>
      <x:c r="F173" s="11" t="n">
        <x:v>260</x:v>
      </x:c>
      <x:c r="G173" s="9" t="str">
        <x:v>220–297</x:v>
      </x:c>
      <x:c r="H173" s="9" t="str">
        <x:v>第三方参考</x:v>
      </x:c>
      <x:c r="I173" s="9" t="str">
        <x:v>芝士奶盖</x:v>
      </x:c>
      <x:c r="J173" s="12" t="str">
        <x:v>待核实</x:v>
      </x:c>
      <x:c r="K173" s="12" t="str"/>
      <x:c r="L173" s="9" t="str">
        <x:v>https://www.nckfhsm.com/products/yan-yan-zhi-shi-qi-lan</x:v>
      </x:c>
      <x:c r="M173" s="9" t="str">
        <x:v>第三方页面直接列出热量区间；kcal为区间取整代表值，未能对应具体配置，不是某糖度实测值。</x:v>
      </x:c>
      <x:c r="N173" s="9" t="str">
        <x:v>优先核实区间两端对应杯型、糖度、加料；第三方未说明检测来源，不应作为官方值。</x:v>
      </x:c>
      <x:c r="O173" s="9" t="str">
        <x:v>2026-10-04</x:v>
      </x:c>
    </x:row>
    <x:row r="174" ht="46" customHeight="1">
      <x:c r="A174" s="7" t="str">
        <x:v>D173</x:v>
      </x:c>
      <x:c r="B174" s="7" t="str">
        <x:v>快乐柠檬</x:v>
      </x:c>
      <x:c r="C174" s="7" t="str">
        <x:v>岩盐芝士鸭屎香</x:v>
      </x:c>
      <x:c r="D174" s="7" t="str">
        <x:v>未注明</x:v>
      </x:c>
      <x:c r="E174" s="7" t="str">
        <x:v>未注明</x:v>
      </x:c>
      <x:c r="F174" s="10" t="n">
        <x:v>280</x:v>
      </x:c>
      <x:c r="G174" s="7" t="str">
        <x:v>194–375</x:v>
      </x:c>
      <x:c r="H174" s="7" t="str">
        <x:v>第三方参考</x:v>
      </x:c>
      <x:c r="I174" s="7" t="str">
        <x:v>芝士奶盖</x:v>
      </x:c>
      <x:c r="J174" s="12" t="str">
        <x:v>待核实</x:v>
      </x:c>
      <x:c r="K174" s="12" t="str"/>
      <x:c r="L174" s="7" t="str">
        <x:v>https://www.nckfhsm.com/products/yan-yan-zhi-shi-ya-shi-xiang</x:v>
      </x:c>
      <x:c r="M174" s="7" t="str">
        <x:v>第三方页面直接列出热量区间；kcal为区间取整代表值，未能对应具体配置，不是某糖度实测值。</x:v>
      </x:c>
      <x:c r="N174" s="7" t="str">
        <x:v>优先核实区间两端对应杯型、糖度、加料；第三方未说明检测来源，不应作为官方值。</x:v>
      </x:c>
      <x:c r="O174" s="7" t="str">
        <x:v>2026-10-04</x:v>
      </x:c>
    </x:row>
    <x:row r="175" ht="63" customHeight="1">
      <x:c r="A175" s="9" t="str">
        <x:v>D174</x:v>
      </x:c>
      <x:c r="B175" s="9" t="str">
        <x:v>快乐柠檬</x:v>
      </x:c>
      <x:c r="C175" s="9" t="str">
        <x:v>蛋糕忌廉珍珠奶茶</x:v>
      </x:c>
      <x:c r="D175" s="9" t="str">
        <x:v>未注明</x:v>
      </x:c>
      <x:c r="E175" s="9" t="str">
        <x:v>未注明</x:v>
      </x:c>
      <x:c r="F175" s="11" t="n">
        <x:v>520</x:v>
      </x:c>
      <x:c r="G175" s="9" t="str">
        <x:v>350–750</x:v>
      </x:c>
      <x:c r="H175" s="9" t="str">
        <x:v>配料估算</x:v>
      </x:c>
      <x:c r="I175" s="9" t="str">
        <x:v>珍珠、蛋糕忌廉</x:v>
      </x:c>
      <x:c r="J175" s="12" t="str">
        <x:v>待核实</x:v>
      </x:c>
      <x:c r="K175" s="12" t="str"/>
      <x:c r="L175" s="9" t="str">
        <x:v>https://www.nckfhsm.com/brands/kuai-le-ning-meng/menu/available</x:v>
      </x:c>
      <x:c r="M175" s="9" t="str">
        <x:v>大陆第三方菜单列出品名但无热量；假设奶茶基底300kcal、珍珠50g约100kcal、蛋糕忌廉40g约120kcal。</x:v>
      </x:c>
      <x:c r="N175" s="9" t="str">
        <x:v>核实本地门店是否在售、杯型容量、默认糖度和真实配方；估算份量不是品牌披露。</x:v>
      </x:c>
      <x:c r="O175" s="9" t="str">
        <x:v>2026-10-04</x:v>
      </x:c>
    </x:row>
    <x:row r="176" ht="63" customHeight="1">
      <x:c r="A176" s="7" t="str">
        <x:v>D175</x:v>
      </x:c>
      <x:c r="B176" s="7" t="str">
        <x:v>快乐柠檬</x:v>
      </x:c>
      <x:c r="C176" s="7" t="str">
        <x:v>蛋糕忌廉珍珠牛奶茶</x:v>
      </x:c>
      <x:c r="D176" s="7" t="str">
        <x:v>未注明</x:v>
      </x:c>
      <x:c r="E176" s="7" t="str">
        <x:v>未注明</x:v>
      </x:c>
      <x:c r="F176" s="10" t="n">
        <x:v>470</x:v>
      </x:c>
      <x:c r="G176" s="7" t="str">
        <x:v>300–700</x:v>
      </x:c>
      <x:c r="H176" s="7" t="str">
        <x:v>配料估算</x:v>
      </x:c>
      <x:c r="I176" s="7" t="str">
        <x:v>珍珠、蛋糕忌廉；牛奶已计入</x:v>
      </x:c>
      <x:c r="J176" s="12" t="str">
        <x:v>待核实</x:v>
      </x:c>
      <x:c r="K176" s="12" t="str"/>
      <x:c r="L176" s="7" t="str">
        <x:v>https://www.nckfhsm.com/brands/kuai-le-ning-meng/menu/available</x:v>
      </x:c>
      <x:c r="M176" s="7" t="str">
        <x:v>大陆第三方菜单列出品名但无热量；假设牛奶200g122kcal、糖30g120kcal、珍珠50g100kcal、忌廉40g120kcal。</x:v>
      </x:c>
      <x:c r="N176" s="7" t="str">
        <x:v>核实本地门店是否在售、杯型容量、默认糖度和真实配方；估算份量不是品牌披露。</x:v>
      </x:c>
      <x:c r="O176" s="7" t="str">
        <x:v>2026-10-04</x:v>
      </x:c>
    </x:row>
    <x:row r="177" ht="63" customHeight="1">
      <x:c r="A177" s="9" t="str">
        <x:v>D176</x:v>
      </x:c>
      <x:c r="B177" s="9" t="str">
        <x:v>快乐柠檬</x:v>
      </x:c>
      <x:c r="C177" s="9" t="str">
        <x:v>菠萝蜜桃冰沙</x:v>
      </x:c>
      <x:c r="D177" s="9" t="str">
        <x:v>未注明</x:v>
      </x:c>
      <x:c r="E177" s="9" t="str">
        <x:v>未注明</x:v>
      </x:c>
      <x:c r="F177" s="11" t="n">
        <x:v>240</x:v>
      </x:c>
      <x:c r="G177" s="9" t="str">
        <x:v>140–380</x:v>
      </x:c>
      <x:c r="H177" s="9" t="str">
        <x:v>配料估算</x:v>
      </x:c>
      <x:c r="I177" s="9" t="str">
        <x:v>菠萝、蜜桃</x:v>
      </x:c>
      <x:c r="J177" s="12" t="str">
        <x:v>待核实</x:v>
      </x:c>
      <x:c r="K177" s="12" t="str"/>
      <x:c r="L177" s="9" t="str">
        <x:v>https://www.nckfhsm.com/brands/kuai-le-ning-meng/menu/available</x:v>
      </x:c>
      <x:c r="M177" s="9" t="str">
        <x:v>大陆第三方菜单列出品名但无热量；假设水果/果酱约100kcal、添加糖35g140kcal；不额外加奶盖。</x:v>
      </x:c>
      <x:c r="N177" s="9" t="str">
        <x:v>核实本地门店是否在售、杯型容量、默认糖度和真实配方；估算份量不是品牌披露。</x:v>
      </x:c>
      <x:c r="O177" s="9" t="str">
        <x:v>2026-10-04</x:v>
      </x:c>
    </x:row>
    <x:row r="178" ht="63" customHeight="1">
      <x:c r="A178" s="7" t="str">
        <x:v>D177</x:v>
      </x:c>
      <x:c r="B178" s="7" t="str">
        <x:v>冰雪时光</x:v>
      </x:c>
      <x:c r="C178" s="7" t="str">
        <x:v>冰鲜柠檬水</x:v>
      </x:c>
      <x:c r="D178" s="7" t="str">
        <x:v>未注明</x:v>
      </x:c>
      <x:c r="E178" s="7" t="str">
        <x:v>未注明</x:v>
      </x:c>
      <x:c r="F178" s="10" t="n">
        <x:v>150</x:v>
      </x:c>
      <x:c r="G178" s="7" t="str">
        <x:v>80–240</x:v>
      </x:c>
      <x:c r="H178" s="7" t="str">
        <x:v>配料估算</x:v>
      </x:c>
      <x:c r="I178" s="7" t="str">
        <x:v>柠檬</x:v>
      </x:c>
      <x:c r="J178" s="12" t="str">
        <x:v>待核实</x:v>
      </x:c>
      <x:c r="K178" s="12" t="str"/>
      <x:c r="L178" s="7" t="str">
        <x:v>https://www.nckfhsm.com/brands/bing-xue-shi-guang/menu/available</x:v>
      </x:c>
      <x:c r="M178" s="7" t="str">
        <x:v>第三方大陆菜单列出品名但无热量；假设添加糖35g140kcal、柠檬约10kcal。</x:v>
      </x:c>
      <x:c r="N178" s="7" t="str">
        <x:v>核实本地门店是否在售、杯型容量、默认糖度和真实配方；估算份量不是品牌披露。</x:v>
      </x:c>
      <x:c r="O178" s="7" t="str">
        <x:v>2026-10-04</x:v>
      </x:c>
    </x:row>
    <x:row r="179" ht="63" customHeight="1">
      <x:c r="A179" s="9" t="str">
        <x:v>D178</x:v>
      </x:c>
      <x:c r="B179" s="9" t="str">
        <x:v>冰雪时光</x:v>
      </x:c>
      <x:c r="C179" s="9" t="str">
        <x:v>抹茶黑糖珍珠牛乳</x:v>
      </x:c>
      <x:c r="D179" s="9" t="str">
        <x:v>未注明</x:v>
      </x:c>
      <x:c r="E179" s="9" t="str">
        <x:v>未注明</x:v>
      </x:c>
      <x:c r="F179" s="11" t="n">
        <x:v>410</x:v>
      </x:c>
      <x:c r="G179" s="9" t="str">
        <x:v>280–590</x:v>
      </x:c>
      <x:c r="H179" s="9" t="str">
        <x:v>配料估算</x:v>
      </x:c>
      <x:c r="I179" s="9" t="str">
        <x:v>黑糖珍珠；牛奶、黑糖已计入</x:v>
      </x:c>
      <x:c r="J179" s="12" t="str">
        <x:v>待核实</x:v>
      </x:c>
      <x:c r="K179" s="12" t="str"/>
      <x:c r="L179" s="9" t="str">
        <x:v>https://www.nckfhsm.com/brands/bing-xue-shi-guang/menu/available</x:v>
      </x:c>
      <x:c r="M179" s="9" t="str">
        <x:v>第三方大陆菜单列出品名但无热量；假设牛奶250g153kcal、黑糖35g140kcal、珍珠50g100kcal、抹茶约15kcal。</x:v>
      </x:c>
      <x:c r="N179" s="9" t="str">
        <x:v>核实本地门店是否在售、杯型容量、默认糖度和真实配方；估算份量不是品牌披露。</x:v>
      </x:c>
      <x:c r="O179" s="9" t="str">
        <x:v>2026-10-04</x:v>
      </x:c>
    </x:row>
    <x:row r="180" ht="63" customHeight="1">
      <x:c r="A180" s="7" t="str">
        <x:v>D179</x:v>
      </x:c>
      <x:c r="B180" s="7" t="str">
        <x:v>冰雪时光</x:v>
      </x:c>
      <x:c r="C180" s="7" t="str">
        <x:v>黑糖芝士牛乳</x:v>
      </x:c>
      <x:c r="D180" s="7" t="str">
        <x:v>未注明</x:v>
      </x:c>
      <x:c r="E180" s="7" t="str">
        <x:v>未注明</x:v>
      </x:c>
      <x:c r="F180" s="10" t="n">
        <x:v>410</x:v>
      </x:c>
      <x:c r="G180" s="7" t="str">
        <x:v>270–600</x:v>
      </x:c>
      <x:c r="H180" s="7" t="str">
        <x:v>配料估算</x:v>
      </x:c>
      <x:c r="I180" s="7" t="str">
        <x:v>芝士奶盖；牛奶、黑糖已计入</x:v>
      </x:c>
      <x:c r="J180" s="12" t="str">
        <x:v>待核实</x:v>
      </x:c>
      <x:c r="K180" s="12" t="str"/>
      <x:c r="L180" s="7" t="str">
        <x:v>https://www.nckfhsm.com/brands/bing-xue-shi-guang/menu/available</x:v>
      </x:c>
      <x:c r="M180" s="7" t="str">
        <x:v>第三方大陆菜单列出品名但无热量；假设牛奶250g153kcal、黑糖30g120kcal、芝士奶盖40g约140kcal。</x:v>
      </x:c>
      <x:c r="N180" s="7" t="str">
        <x:v>核实本地门店是否在售、杯型容量、默认糖度和真实配方；估算份量不是品牌披露。</x:v>
      </x:c>
      <x:c r="O180" s="7" t="str">
        <x:v>2026-10-04</x:v>
      </x:c>
    </x:row>
    <x:row r="181" ht="63" customHeight="1">
      <x:c r="A181" s="9" t="str">
        <x:v>D180</x:v>
      </x:c>
      <x:c r="B181" s="9" t="str">
        <x:v>冰雪时光</x:v>
      </x:c>
      <x:c r="C181" s="9" t="str">
        <x:v>抹茶芋泥牛乳</x:v>
      </x:c>
      <x:c r="D181" s="9" t="str">
        <x:v>未注明</x:v>
      </x:c>
      <x:c r="E181" s="9" t="str">
        <x:v>未注明</x:v>
      </x:c>
      <x:c r="F181" s="11" t="n">
        <x:v>400</x:v>
      </x:c>
      <x:c r="G181" s="9" t="str">
        <x:v>260–580</x:v>
      </x:c>
      <x:c r="H181" s="9" t="str">
        <x:v>配料估算</x:v>
      </x:c>
      <x:c r="I181" s="9" t="str">
        <x:v>芋泥；牛乳已计入</x:v>
      </x:c>
      <x:c r="J181" s="12" t="str">
        <x:v>待核实</x:v>
      </x:c>
      <x:c r="K181" s="12" t="str"/>
      <x:c r="L181" s="9" t="str">
        <x:v>https://www.nckfhsm.com/brands/bing-xue-shi-guang/menu/available</x:v>
      </x:c>
      <x:c r="M181" s="9" t="str">
        <x:v>第三方大陆菜单列出品名但无热量；假设牛奶250g153kcal、芋泥80g约160kcal、糖20g80kcal、抹茶约10kcal。</x:v>
      </x:c>
      <x:c r="N181" s="9" t="str">
        <x:v>核实本地门店是否在售、杯型容量、默认糖度和真实配方；估算份量不是品牌披露。</x:v>
      </x:c>
      <x:c r="O181" s="9" t="str">
        <x:v>2026-10-04</x:v>
      </x:c>
    </x:row>
    <x:row r="182" ht="63" customHeight="1">
      <x:c r="A182" s="7" t="str">
        <x:v>D181</x:v>
      </x:c>
      <x:c r="B182" s="7" t="str">
        <x:v>冰雪时光</x:v>
      </x:c>
      <x:c r="C182" s="7" t="str">
        <x:v>芋见珍珠牛乳</x:v>
      </x:c>
      <x:c r="D182" s="7" t="str">
        <x:v>未注明</x:v>
      </x:c>
      <x:c r="E182" s="7" t="str">
        <x:v>未注明</x:v>
      </x:c>
      <x:c r="F182" s="10" t="n">
        <x:v>440</x:v>
      </x:c>
      <x:c r="G182" s="7" t="str">
        <x:v>300–640</x:v>
      </x:c>
      <x:c r="H182" s="7" t="str">
        <x:v>配料估算</x:v>
      </x:c>
      <x:c r="I182" s="7" t="str">
        <x:v>芋泥、珍珠；牛乳已计入</x:v>
      </x:c>
      <x:c r="J182" s="12" t="str">
        <x:v>待核实</x:v>
      </x:c>
      <x:c r="K182" s="12" t="str"/>
      <x:c r="L182" s="7" t="str">
        <x:v>https://www.nckfhsm.com/brands/bing-xue-shi-guang/menu/available</x:v>
      </x:c>
      <x:c r="M182" s="7" t="str">
        <x:v>第三方大陆菜单列出品名但无热量；假设牛奶250g153kcal、芋泥60g120kcal、珍珠50g100kcal、糖15g60kcal。</x:v>
      </x:c>
      <x:c r="N182" s="7" t="str">
        <x:v>核实本地门店是否在售、杯型容量、默认糖度和真实配方；估算份量不是品牌披露。</x:v>
      </x:c>
      <x:c r="O182" s="7" t="str">
        <x:v>2026-10-04</x:v>
      </x:c>
    </x:row>
    <x:row r="183" ht="63" customHeight="1">
      <x:c r="A183" s="9" t="str">
        <x:v>D182</x:v>
      </x:c>
      <x:c r="B183" s="9" t="str">
        <x:v>冰雪时光</x:v>
      </x:c>
      <x:c r="C183" s="9" t="str">
        <x:v>芋见茉莉牛乳</x:v>
      </x:c>
      <x:c r="D183" s="9" t="str">
        <x:v>未注明</x:v>
      </x:c>
      <x:c r="E183" s="9" t="str">
        <x:v>未注明</x:v>
      </x:c>
      <x:c r="F183" s="11" t="n">
        <x:v>350</x:v>
      </x:c>
      <x:c r="G183" s="9" t="str">
        <x:v>220–520</x:v>
      </x:c>
      <x:c r="H183" s="9" t="str">
        <x:v>配料估算</x:v>
      </x:c>
      <x:c r="I183" s="9" t="str">
        <x:v>芋泥；牛乳已计入</x:v>
      </x:c>
      <x:c r="J183" s="12" t="str">
        <x:v>待核实</x:v>
      </x:c>
      <x:c r="K183" s="12" t="str"/>
      <x:c r="L183" s="9" t="str">
        <x:v>https://www.nckfhsm.com/brands/bing-xue-shi-guang/menu/available</x:v>
      </x:c>
      <x:c r="M183" s="9" t="str">
        <x:v>第三方大陆菜单列出品名但无热量；假设牛奶250g153kcal、芋泥60g120kcal、糖20g80kcal。</x:v>
      </x:c>
      <x:c r="N183" s="9" t="str">
        <x:v>核实本地门店是否在售、杯型容量、默认糖度和真实配方；估算份量不是品牌披露。</x:v>
      </x:c>
      <x:c r="O183" s="9" t="str">
        <x:v>2026-10-04</x:v>
      </x:c>
    </x:row>
    <x:row r="184" ht="63" customHeight="1">
      <x:c r="A184" s="7" t="str">
        <x:v>D183</x:v>
      </x:c>
      <x:c r="B184" s="7" t="str">
        <x:v>冰雪时光</x:v>
      </x:c>
      <x:c r="C184" s="7" t="str">
        <x:v>满杯青提茉莉</x:v>
      </x:c>
      <x:c r="D184" s="7" t="str">
        <x:v>未注明</x:v>
      </x:c>
      <x:c r="E184" s="7" t="str">
        <x:v>未注明</x:v>
      </x:c>
      <x:c r="F184" s="10" t="n">
        <x:v>240</x:v>
      </x:c>
      <x:c r="G184" s="7" t="str">
        <x:v>140–380</x:v>
      </x:c>
      <x:c r="H184" s="7" t="str">
        <x:v>配料估算</x:v>
      </x:c>
      <x:c r="I184" s="7" t="str">
        <x:v>青提</x:v>
      </x:c>
      <x:c r="J184" s="12" t="str">
        <x:v>待核实</x:v>
      </x:c>
      <x:c r="K184" s="12" t="str"/>
      <x:c r="L184" s="7" t="str">
        <x:v>https://www.nckfhsm.com/brands/bing-xue-shi-guang/menu/available</x:v>
      </x:c>
      <x:c r="M184" s="7" t="str">
        <x:v>第三方大陆菜单列出品名但无热量；假设葡萄150g约100kcal、添加糖35g140kcal，茉莉茶底能量很低。</x:v>
      </x:c>
      <x:c r="N184" s="7" t="str">
        <x:v>核实本地门店是否在售、杯型容量、默认糖度和真实配方；估算份量不是品牌披露。</x:v>
      </x:c>
      <x:c r="O184" s="7" t="str">
        <x:v>2026-10-04</x:v>
      </x:c>
    </x:row>
    <x:row r="185" ht="63" customHeight="1">
      <x:c r="A185" s="9" t="str">
        <x:v>D184</x:v>
      </x:c>
      <x:c r="B185" s="9" t="str">
        <x:v>冰雪时光</x:v>
      </x:c>
      <x:c r="C185" s="9" t="str">
        <x:v>山楂桃桃</x:v>
      </x:c>
      <x:c r="D185" s="9" t="str">
        <x:v>未注明</x:v>
      </x:c>
      <x:c r="E185" s="9" t="str">
        <x:v>未注明</x:v>
      </x:c>
      <x:c r="F185" s="11" t="n">
        <x:v>240</x:v>
      </x:c>
      <x:c r="G185" s="9" t="str">
        <x:v>140–380</x:v>
      </x:c>
      <x:c r="H185" s="9" t="str">
        <x:v>配料估算</x:v>
      </x:c>
      <x:c r="I185" s="9" t="str">
        <x:v>山楂、桃</x:v>
      </x:c>
      <x:c r="J185" s="12" t="str">
        <x:v>待核实</x:v>
      </x:c>
      <x:c r="K185" s="12" t="str"/>
      <x:c r="L185" s="9" t="str">
        <x:v>https://www.nckfhsm.com/brands/bing-xue-shi-guang/menu/available</x:v>
      </x:c>
      <x:c r="M185" s="9" t="str">
        <x:v>第三方大陆菜单列出品名但无热量；假设山楂桃果肉/果酱约100kcal、添加糖35g140kcal。</x:v>
      </x:c>
      <x:c r="N185" s="9" t="str">
        <x:v>核实本地门店是否在售、杯型容量、默认糖度和真实配方；估算份量不是品牌披露。</x:v>
      </x:c>
      <x:c r="O185" s="9" t="str">
        <x:v>2026-10-04</x:v>
      </x:c>
    </x:row>
    <x:row r="186" ht="46" customHeight="1">
      <x:c r="A186" s="7" t="str">
        <x:v>D185</x:v>
      </x:c>
      <x:c r="B186" s="7" t="str">
        <x:v>吾饮良品</x:v>
      </x:c>
      <x:c r="C186" s="7" t="str">
        <x:v>草莓玛奇朵</x:v>
      </x:c>
      <x:c r="D186" s="7" t="str">
        <x:v>未注明</x:v>
      </x:c>
      <x:c r="E186" s="7" t="str">
        <x:v>未注明</x:v>
      </x:c>
      <x:c r="F186" s="10" t="n">
        <x:v>320</x:v>
      </x:c>
      <x:c r="G186" s="7" t="str">
        <x:v>200–470</x:v>
      </x:c>
      <x:c r="H186" s="7" t="str">
        <x:v>配料估算</x:v>
      </x:c>
      <x:c r="I186" s="7" t="str">
        <x:v>草莓、奶盖</x:v>
      </x:c>
      <x:c r="J186" s="12" t="str">
        <x:v>待核实</x:v>
      </x:c>
      <x:c r="K186" s="12" t="str"/>
      <x:c r="L186" s="7" t="str">
        <x:v>https://m.maigoo.com/top/435827.html</x:v>
      </x:c>
      <x:c r="M186" s="7" t="str">
        <x:v>第三方推荐页说明品名/组成，无热量，且部分款可能历史或季节款；假设草莓150g约50kcal、糖30g120kcal、奶盖40g150kcal。</x:v>
      </x:c>
      <x:c r="N186" s="7" t="str">
        <x:v>核实2026年本地菜单是否仍在售、份量和默认加料。第三方推荐页不是实时菜单，热量为自建假设。</x:v>
      </x:c>
      <x:c r="O186" s="7" t="str">
        <x:v>2026-10-04</x:v>
      </x:c>
    </x:row>
    <x:row r="187" ht="46" customHeight="1">
      <x:c r="A187" s="9" t="str">
        <x:v>D186</x:v>
      </x:c>
      <x:c r="B187" s="9" t="str">
        <x:v>吾饮良品</x:v>
      </x:c>
      <x:c r="C187" s="9" t="str">
        <x:v>有颗柠檬</x:v>
      </x:c>
      <x:c r="D187" s="9" t="str">
        <x:v>未注明</x:v>
      </x:c>
      <x:c r="E187" s="9" t="str">
        <x:v>未注明</x:v>
      </x:c>
      <x:c r="F187" s="11" t="n">
        <x:v>180</x:v>
      </x:c>
      <x:c r="G187" s="9" t="str">
        <x:v>100–300</x:v>
      </x:c>
      <x:c r="H187" s="9" t="str">
        <x:v>配料估算</x:v>
      </x:c>
      <x:c r="I187" s="9" t="str">
        <x:v>柠檬</x:v>
      </x:c>
      <x:c r="J187" s="12" t="str">
        <x:v>待核实</x:v>
      </x:c>
      <x:c r="K187" s="12" t="str"/>
      <x:c r="L187" s="9" t="str">
        <x:v>https://m.maigoo.com/top/435827.html</x:v>
      </x:c>
      <x:c r="M187" s="9" t="str">
        <x:v>第三方推荐页说明品名/组成，无热量，且部分款可能历史或季节款；假设添加糖40g160kcal、柠檬约20kcal。</x:v>
      </x:c>
      <x:c r="N187" s="9" t="str">
        <x:v>核实2026年本地菜单是否仍在售、份量和默认加料。第三方推荐页不是实时菜单，热量为自建假设。</x:v>
      </x:c>
      <x:c r="O187" s="9" t="str">
        <x:v>2026-10-04</x:v>
      </x:c>
    </x:row>
    <x:row r="188" ht="46" customHeight="1">
      <x:c r="A188" s="7" t="str">
        <x:v>D187</x:v>
      </x:c>
      <x:c r="B188" s="7" t="str">
        <x:v>吾饮良品</x:v>
      </x:c>
      <x:c r="C188" s="7" t="str">
        <x:v>多肉桃桃</x:v>
      </x:c>
      <x:c r="D188" s="7" t="str">
        <x:v>未注明</x:v>
      </x:c>
      <x:c r="E188" s="7" t="str">
        <x:v>未注明</x:v>
      </x:c>
      <x:c r="F188" s="10" t="n">
        <x:v>250</x:v>
      </x:c>
      <x:c r="G188" s="7" t="str">
        <x:v>140–390</x:v>
      </x:c>
      <x:c r="H188" s="7" t="str">
        <x:v>配料估算</x:v>
      </x:c>
      <x:c r="I188" s="7" t="str">
        <x:v>桃果肉、清凉冻</x:v>
      </x:c>
      <x:c r="J188" s="12" t="str">
        <x:v>待核实</x:v>
      </x:c>
      <x:c r="K188" s="12" t="str"/>
      <x:c r="L188" s="7" t="str">
        <x:v>https://m.maigoo.com/top/435827.html</x:v>
      </x:c>
      <x:c r="M188" s="7" t="str">
        <x:v>第三方推荐页说明品名/组成，无热量，且部分款可能历史或季节款；假设桃果肉150g约60kcal、糖35g140kcal、清凉冻约50kcal。</x:v>
      </x:c>
      <x:c r="N188" s="7" t="str">
        <x:v>核实2026年本地菜单是否仍在售、份量和默认加料。第三方推荐页不是实时菜单，热量为自建假设。</x:v>
      </x:c>
      <x:c r="O188" s="7" t="str">
        <x:v>2026-10-04</x:v>
      </x:c>
    </x:row>
    <x:row r="189" ht="63" customHeight="1">
      <x:c r="A189" s="9" t="str">
        <x:v>D188</x:v>
      </x:c>
      <x:c r="B189" s="9" t="str">
        <x:v>吾饮良品</x:v>
      </x:c>
      <x:c r="C189" s="9" t="str">
        <x:v>杨枝甘露</x:v>
      </x:c>
      <x:c r="D189" s="9" t="str">
        <x:v>未注明</x:v>
      </x:c>
      <x:c r="E189" s="9" t="str">
        <x:v>未注明</x:v>
      </x:c>
      <x:c r="F189" s="11" t="n">
        <x:v>400</x:v>
      </x:c>
      <x:c r="G189" s="9" t="str">
        <x:v>250–600</x:v>
      </x:c>
      <x:c r="H189" s="9" t="str">
        <x:v>配料估算</x:v>
      </x:c>
      <x:c r="I189" s="9" t="str">
        <x:v>芒果、西柚、西米；椰奶已计入</x:v>
      </x:c>
      <x:c r="J189" s="12" t="str">
        <x:v>待核实</x:v>
      </x:c>
      <x:c r="K189" s="12" t="str"/>
      <x:c r="L189" s="9" t="str">
        <x:v>https://m.maigoo.com/top/435827.html</x:v>
      </x:c>
      <x:c r="M189" s="9" t="str">
        <x:v>第三方推荐页说明品名/组成，无热量，且部分款可能历史或季节款；假设椰奶基底150kcal、芒果西柚约90kcal、西米50g约60kcal、糖25g100kcal。</x:v>
      </x:c>
      <x:c r="N189" s="9" t="str">
        <x:v>核实2026年本地菜单是否仍在售、份量和默认加料。第三方推荐页不是实时菜单，热量为自建假设。</x:v>
      </x:c>
      <x:c r="O189" s="9" t="str">
        <x:v>2026-10-04</x:v>
      </x:c>
    </x:row>
    <x:row r="190" ht="63" customHeight="1">
      <x:c r="A190" s="7" t="str">
        <x:v>D189</x:v>
      </x:c>
      <x:c r="B190" s="7" t="str">
        <x:v>吾饮良品</x:v>
      </x:c>
      <x:c r="C190" s="7" t="str">
        <x:v>芋圆桂花酒酿</x:v>
      </x:c>
      <x:c r="D190" s="7" t="str">
        <x:v>未注明</x:v>
      </x:c>
      <x:c r="E190" s="7" t="str">
        <x:v>未注明</x:v>
      </x:c>
      <x:c r="F190" s="10" t="n">
        <x:v>490</x:v>
      </x:c>
      <x:c r="G190" s="7" t="str">
        <x:v>320–720</x:v>
      </x:c>
      <x:c r="H190" s="7" t="str">
        <x:v>配料估算</x:v>
      </x:c>
      <x:c r="I190" s="7" t="str">
        <x:v>芋圆、桂花酒酿、奶霜</x:v>
      </x:c>
      <x:c r="J190" s="12" t="str">
        <x:v>待核实</x:v>
      </x:c>
      <x:c r="K190" s="12" t="str"/>
      <x:c r="L190" s="7" t="str">
        <x:v>https://m.maigoo.com/top/435827.html</x:v>
      </x:c>
      <x:c r="M190" s="7" t="str">
        <x:v>第三方推荐页说明品名/组成，无热量，且部分款可能历史或季节款；假设奶茶基底240kcal、芋圆50g100kcal、酒酿40g60kcal、奶霜30g90kcal。</x:v>
      </x:c>
      <x:c r="N190" s="7" t="str">
        <x:v>核实2026年本地菜单是否仍在售、份量和默认加料。第三方推荐页不是实时菜单，热量为自建假设。</x:v>
      </x:c>
      <x:c r="O190" s="7" t="str">
        <x:v>2026-10-04</x:v>
      </x:c>
    </x:row>
    <x:row r="191" ht="63" customHeight="1">
      <x:c r="A191" s="9" t="str">
        <x:v>D190</x:v>
      </x:c>
      <x:c r="B191" s="9" t="str">
        <x:v>吾饮良品</x:v>
      </x:c>
      <x:c r="C191" s="9" t="str">
        <x:v>厚乳拿铁</x:v>
      </x:c>
      <x:c r="D191" s="9" t="str">
        <x:v>未注明</x:v>
      </x:c>
      <x:c r="E191" s="9" t="str">
        <x:v>未注明</x:v>
      </x:c>
      <x:c r="F191" s="11" t="n">
        <x:v>280</x:v>
      </x:c>
      <x:c r="G191" s="9" t="str">
        <x:v>180–420</x:v>
      </x:c>
      <x:c r="H191" s="9" t="str">
        <x:v>配料估算</x:v>
      </x:c>
      <x:c r="I191" s="9" t="str">
        <x:v>厚乳已计入</x:v>
      </x:c>
      <x:c r="J191" s="12" t="str">
        <x:v>待核实</x:v>
      </x:c>
      <x:c r="K191" s="12" t="str"/>
      <x:c r="L191" s="9" t="str">
        <x:v>https://m.maigoo.com/top/435827.html</x:v>
      </x:c>
      <x:c r="M191" s="9" t="str">
        <x:v>第三方推荐页说明品名/组成，无热量，且部分款可能历史或季节款；假设厚乳250g按约110kcal/100g计275kcal，加浓缩约5kcal；未确认是否默认加糖。</x:v>
      </x:c>
      <x:c r="N191" s="9" t="str">
        <x:v>核实2026年本地菜单是否仍在售、份量和默认加料。第三方推荐页不是实时菜单，热量为自建假设。</x:v>
      </x:c>
      <x:c r="O191" s="9" t="str">
        <x:v>2026-10-04</x:v>
      </x:c>
    </x:row>
    <x:row r="192" ht="63" customHeight="1">
      <x:c r="A192" s="7" t="str">
        <x:v>D191</x:v>
      </x:c>
      <x:c r="B192" s="7" t="str">
        <x:v>吾饮良品</x:v>
      </x:c>
      <x:c r="C192" s="7" t="str">
        <x:v>满杯烧仙草</x:v>
      </x:c>
      <x:c r="D192" s="7" t="str">
        <x:v>未注明</x:v>
      </x:c>
      <x:c r="E192" s="7" t="str">
        <x:v>未注明</x:v>
      </x:c>
      <x:c r="F192" s="10" t="n">
        <x:v>570</x:v>
      </x:c>
      <x:c r="G192" s="7" t="str">
        <x:v>350–850</x:v>
      </x:c>
      <x:c r="H192" s="7" t="str">
        <x:v>配料估算</x:v>
      </x:c>
      <x:c r="I192" s="7" t="str">
        <x:v>仙草、珍珠、红豆、芋圆、花生、马蹄、葡萄干</x:v>
      </x:c>
      <x:c r="J192" s="12" t="str">
        <x:v>待核实</x:v>
      </x:c>
      <x:c r="K192" s="12" t="str"/>
      <x:c r="L192" s="7" t="str">
        <x:v>https://m.maigoo.com/top/435827.html</x:v>
      </x:c>
      <x:c r="M192" s="7" t="str">
        <x:v>第三方推荐页说明品名/组成，无热量，且部分款可能历史或季节款；假设奶茶基底230kcal、珍珠/芋圆/红豆合计约210kcal、花生葡萄干约100kcal、仙草马蹄约30kcal。</x:v>
      </x:c>
      <x:c r="N192" s="7" t="str">
        <x:v>核实2026年本地菜单是否仍在售、份量和默认加料。第三方推荐页不是实时菜单，热量为自建假设。</x:v>
      </x:c>
      <x:c r="O192" s="7" t="str">
        <x:v>2026-10-04</x:v>
      </x:c>
    </x:row>
    <x:row r="193" ht="46" customHeight="1">
      <x:c r="A193" s="9" t="str">
        <x:v>D192</x:v>
      </x:c>
      <x:c r="B193" s="9" t="str">
        <x:v>吾饮良品</x:v>
      </x:c>
      <x:c r="C193" s="9" t="str">
        <x:v>吾家奶茶</x:v>
      </x:c>
      <x:c r="D193" s="9" t="str">
        <x:v>未注明</x:v>
      </x:c>
      <x:c r="E193" s="9" t="str">
        <x:v>未注明</x:v>
      </x:c>
      <x:c r="F193" s="11" t="n">
        <x:v>360</x:v>
      </x:c>
      <x:c r="G193" s="9" t="str">
        <x:v>230–540</x:v>
      </x:c>
      <x:c r="H193" s="9" t="str">
        <x:v>配料估算</x:v>
      </x:c>
      <x:c r="I193" s="9" t="str">
        <x:v>珍珠（估算选定版本）</x:v>
      </x:c>
      <x:c r="J193" s="12" t="str">
        <x:v>待核实</x:v>
      </x:c>
      <x:c r="K193" s="12" t="str"/>
      <x:c r="L193" s="9" t="str">
        <x:v>https://m.maigoo.com/top/435827.html</x:v>
      </x:c>
      <x:c r="M193" s="9" t="str">
        <x:v>第三方推荐页说明品名/组成，无热量，且部分款可能历史或季节款；假设奶茶基底260kcal、珍珠50g100kcal；这里取珍珠版，红豆/椰果版不同。</x:v>
      </x:c>
      <x:c r="N193" s="9" t="str">
        <x:v>核实2026年本地菜单是否仍在售、份量和默认加料。第三方推荐页不是实时菜单，热量为自建假设。</x:v>
      </x:c>
      <x:c r="O193" s="9" t="str">
        <x:v>2026-10-04</x:v>
      </x:c>
    </x:row>
    <x:row r="194" ht="63" customHeight="1">
      <x:c r="A194" s="7" t="str">
        <x:v>D193</x:v>
      </x:c>
      <x:c r="B194" s="7" t="str">
        <x:v>星巴克 Starbucks</x:v>
      </x:c>
      <x:c r="C194" s="7" t="str">
        <x:v>美式咖啡</x:v>
      </x:c>
      <x:c r="D194" s="7" t="str">
        <x:v>未注明；估算按中杯约355ml</x:v>
      </x:c>
      <x:c r="E194" s="7" t="str">
        <x:v>不另外加糖（估算配置）</x:v>
      </x:c>
      <x:c r="F194" s="10" t="n">
        <x:v>10</x:v>
      </x:c>
      <x:c r="G194" s="7" t="str">
        <x:v>5–20</x:v>
      </x:c>
      <x:c r="H194" s="7" t="str">
        <x:v>配料估算</x:v>
      </x:c>
      <x:c r="I194" s="7" t="str">
        <x:v>无</x:v>
      </x:c>
      <x:c r="J194" s="12" t="str">
        <x:v>待核实</x:v>
      </x:c>
      <x:c r="K194" s="12" t="str"/>
      <x:c r="L194" s="7" t="str">
        <x:v>https://www.starbucks.com.cn/menu/beverages/espresso/caffe-latte/</x:v>
      </x:c>
      <x:c r="M194" s="7" t="str">
        <x:v>大陆官方菜单确认饮品名称；本页不公布热量。无奶无糖浓缩兑水，按2-3份浓缩约5-15kcal。</x:v>
      </x:c>
      <x:c r="N194" s="7" t="str">
        <x:v>核实本地门店是否在售、杯型容量、默认糖度和真实配方；估算份量不是品牌披露。</x:v>
      </x:c>
      <x:c r="O194" s="7" t="str">
        <x:v>2026-10-04</x:v>
      </x:c>
    </x:row>
    <x:row r="195" ht="63" customHeight="1">
      <x:c r="A195" s="9" t="str">
        <x:v>D194</x:v>
      </x:c>
      <x:c r="B195" s="9" t="str">
        <x:v>星巴克 Starbucks</x:v>
      </x:c>
      <x:c r="C195" s="9" t="str">
        <x:v>拿铁</x:v>
      </x:c>
      <x:c r="D195" s="9" t="str">
        <x:v>未注明；估算按中杯约355ml</x:v>
      </x:c>
      <x:c r="E195" s="9" t="str">
        <x:v>不另外加糖（估算配置）</x:v>
      </x:c>
      <x:c r="F195" s="11" t="n">
        <x:v>190</x:v>
      </x:c>
      <x:c r="G195" s="9" t="str">
        <x:v>130–250</x:v>
      </x:c>
      <x:c r="H195" s="9" t="str">
        <x:v>配料估算</x:v>
      </x:c>
      <x:c r="I195" s="9" t="str">
        <x:v>牛奶已计入</x:v>
      </x:c>
      <x:c r="J195" s="12" t="str">
        <x:v>待核实</x:v>
      </x:c>
      <x:c r="K195" s="12" t="str"/>
      <x:c r="L195" s="9" t="str">
        <x:v>https://www.starbucks.com.cn/menu/beverages/espresso/caffe-latte/</x:v>
      </x:c>
      <x:c r="M195" s="9" t="str">
        <x:v>大陆官方菜单确认饮品名称；本页不公布热量。假设全脂奶300g约183kcal，加浓缩约7kcal。</x:v>
      </x:c>
      <x:c r="N195" s="9" t="str">
        <x:v>核实本地门店是否在售、杯型容量、默认糖度和真实配方；估算份量不是品牌披露。</x:v>
      </x:c>
      <x:c r="O195" s="9" t="str">
        <x:v>2026-10-04</x:v>
      </x:c>
    </x:row>
    <x:row r="196" ht="63" customHeight="1">
      <x:c r="A196" s="7" t="str">
        <x:v>D195</x:v>
      </x:c>
      <x:c r="B196" s="7" t="str">
        <x:v>星巴克 Starbucks</x:v>
      </x:c>
      <x:c r="C196" s="7" t="str">
        <x:v>卡布奇诺</x:v>
      </x:c>
      <x:c r="D196" s="7" t="str">
        <x:v>未注明；估算按中杯约355ml</x:v>
      </x:c>
      <x:c r="E196" s="7" t="str">
        <x:v>不另外加糖（估算配置）</x:v>
      </x:c>
      <x:c r="F196" s="10" t="n">
        <x:v>130</x:v>
      </x:c>
      <x:c r="G196" s="7" t="str">
        <x:v>80–200</x:v>
      </x:c>
      <x:c r="H196" s="7" t="str">
        <x:v>配料估算</x:v>
      </x:c>
      <x:c r="I196" s="7" t="str">
        <x:v>牛奶已计入</x:v>
      </x:c>
      <x:c r="J196" s="12" t="str">
        <x:v>待核实</x:v>
      </x:c>
      <x:c r="K196" s="12" t="str"/>
      <x:c r="L196" s="7" t="str">
        <x:v>https://www.starbucks.com.cn/menu/beverages/espresso/caffe-latte/</x:v>
      </x:c>
      <x:c r="M196" s="7" t="str">
        <x:v>大陆官方菜单确认饮品名称；本页不公布热量。假设全脂奶200g约122kcal，加浓缩约8kcal；奶泡比例影响奶量。</x:v>
      </x:c>
      <x:c r="N196" s="7" t="str">
        <x:v>核实本地门店是否在售、杯型容量、默认糖度和真实配方；估算份量不是品牌披露。</x:v>
      </x:c>
      <x:c r="O196" s="7" t="str">
        <x:v>2026-10-04</x:v>
      </x:c>
    </x:row>
    <x:row r="197" ht="63" customHeight="1">
      <x:c r="A197" s="9" t="str">
        <x:v>D196</x:v>
      </x:c>
      <x:c r="B197" s="9" t="str">
        <x:v>星巴克 Starbucks</x:v>
      </x:c>
      <x:c r="C197" s="9" t="str">
        <x:v>馥芮白</x:v>
      </x:c>
      <x:c r="D197" s="9" t="str">
        <x:v>未注明；估算按中杯约355ml</x:v>
      </x:c>
      <x:c r="E197" s="9" t="str">
        <x:v>不另外加糖（估算配置）</x:v>
      </x:c>
      <x:c r="F197" s="11" t="n">
        <x:v>180</x:v>
      </x:c>
      <x:c r="G197" s="9" t="str">
        <x:v>120–250</x:v>
      </x:c>
      <x:c r="H197" s="9" t="str">
        <x:v>配料估算</x:v>
      </x:c>
      <x:c r="I197" s="9" t="str">
        <x:v>牛奶已计入</x:v>
      </x:c>
      <x:c r="J197" s="12" t="str">
        <x:v>待核实</x:v>
      </x:c>
      <x:c r="K197" s="12" t="str"/>
      <x:c r="L197" s="9" t="str">
        <x:v>https://www.starbucks.com.cn/menu/beverages/espresso/caffe-latte/</x:v>
      </x:c>
      <x:c r="M197" s="9" t="str">
        <x:v>大陆官方菜单确认饮品名称；本页不公布热量。假设全脂奶280g约171kcal，加浓缩约9kcal。</x:v>
      </x:c>
      <x:c r="N197" s="9" t="str">
        <x:v>核实本地门店是否在售、杯型容量、默认糖度和真实配方；估算份量不是品牌披露。</x:v>
      </x:c>
      <x:c r="O197" s="9" t="str">
        <x:v>2026-10-04</x:v>
      </x:c>
    </x:row>
    <x:row r="198" ht="63" customHeight="1">
      <x:c r="A198" s="7" t="str">
        <x:v>D197</x:v>
      </x:c>
      <x:c r="B198" s="7" t="str">
        <x:v>星巴克 Starbucks</x:v>
      </x:c>
      <x:c r="C198" s="7" t="str">
        <x:v>焦糖玛奇朵</x:v>
      </x:c>
      <x:c r="D198" s="7" t="str">
        <x:v>未注明；估算按中杯约355ml</x:v>
      </x:c>
      <x:c r="E198" s="7" t="str">
        <x:v>未注明；估算含原配方糖浆</x:v>
      </x:c>
      <x:c r="F198" s="10" t="n">
        <x:v>260</x:v>
      </x:c>
      <x:c r="G198" s="7" t="str">
        <x:v>180–360</x:v>
      </x:c>
      <x:c r="H198" s="7" t="str">
        <x:v>配料估算</x:v>
      </x:c>
      <x:c r="I198" s="7" t="str">
        <x:v>焦糖淋酱、香草糖浆已计入</x:v>
      </x:c>
      <x:c r="J198" s="12" t="str">
        <x:v>待核实</x:v>
      </x:c>
      <x:c r="K198" s="12" t="str"/>
      <x:c r="L198" s="7" t="str">
        <x:v>https://www.starbucks.com.cn/menu/beverages/espresso/caffe-latte/</x:v>
      </x:c>
      <x:c r="M198" s="7" t="str">
        <x:v>大陆官方菜单确认饮品名称；本页不公布热量。假设牛奶250g153kcal、香草糖浆所含糖20g80kcal、焦糖淋酱约20kcal、浓缩约7kcal。</x:v>
      </x:c>
      <x:c r="N198" s="7" t="str">
        <x:v>核实本地门店是否在售、杯型容量、默认糖度和真实配方；估算份量不是品牌披露。</x:v>
      </x:c>
      <x:c r="O198" s="7" t="str">
        <x:v>2026-10-04</x:v>
      </x:c>
    </x:row>
    <x:row r="199" ht="63" customHeight="1">
      <x:c r="A199" s="9" t="str">
        <x:v>D198</x:v>
      </x:c>
      <x:c r="B199" s="9" t="str">
        <x:v>星巴克 Starbucks</x:v>
      </x:c>
      <x:c r="C199" s="9" t="str">
        <x:v>摩卡</x:v>
      </x:c>
      <x:c r="D199" s="9" t="str">
        <x:v>未注明；估算按中杯约355ml</x:v>
      </x:c>
      <x:c r="E199" s="9" t="str">
        <x:v>未注明；估算含原配方酱料</x:v>
      </x:c>
      <x:c r="F199" s="11" t="n">
        <x:v>330</x:v>
      </x:c>
      <x:c r="G199" s="9" t="str">
        <x:v>230–470</x:v>
      </x:c>
      <x:c r="H199" s="9" t="str">
        <x:v>配料估算</x:v>
      </x:c>
      <x:c r="I199" s="9" t="str">
        <x:v>摩卡酱、奶油顶已计入</x:v>
      </x:c>
      <x:c r="J199" s="12" t="str">
        <x:v>待核实</x:v>
      </x:c>
      <x:c r="K199" s="12" t="str"/>
      <x:c r="L199" s="9" t="str">
        <x:v>https://www.starbucks.com.cn/menu/beverages/espresso/caffe-latte/</x:v>
      </x:c>
      <x:c r="M199" s="9" t="str">
        <x:v>大陆官方菜单确认饮品名称；本页不公布热量。假设牛奶250g153kcal、摩卡酱约90kcal、奶油顶约80kcal、浓缩约7kcal。</x:v>
      </x:c>
      <x:c r="N199" s="9" t="str">
        <x:v>核实本地门店是否在售、杯型容量、默认糖度和真实配方；估算份量不是品牌披露。</x:v>
      </x:c>
      <x:c r="O199" s="9" t="str">
        <x:v>2026-10-04</x:v>
      </x:c>
    </x:row>
    <x:row r="200" ht="63" customHeight="1">
      <x:c r="A200" s="7" t="str">
        <x:v>D199</x:v>
      </x:c>
      <x:c r="B200" s="7" t="str">
        <x:v>星巴克 Starbucks</x:v>
      </x:c>
      <x:c r="C200" s="7" t="str">
        <x:v>香草风味拿铁</x:v>
      </x:c>
      <x:c r="D200" s="7" t="str">
        <x:v>未注明；估算按中杯约355ml</x:v>
      </x:c>
      <x:c r="E200" s="7" t="str">
        <x:v>未注明；估算含原配方糖浆</x:v>
      </x:c>
      <x:c r="F200" s="10" t="n">
        <x:v>270</x:v>
      </x:c>
      <x:c r="G200" s="7" t="str">
        <x:v>190–370</x:v>
      </x:c>
      <x:c r="H200" s="7" t="str">
        <x:v>配料估算</x:v>
      </x:c>
      <x:c r="I200" s="7" t="str">
        <x:v>香草糖浆已计入</x:v>
      </x:c>
      <x:c r="J200" s="12" t="str">
        <x:v>待核实</x:v>
      </x:c>
      <x:c r="K200" s="12" t="str"/>
      <x:c r="L200" s="7" t="str">
        <x:v>https://www.starbucks.com.cn/menu/beverages/espresso/caffe-latte/</x:v>
      </x:c>
      <x:c r="M200" s="7" t="str">
        <x:v>大陆官方菜单确认饮品名称；本页不公布热量。假设牛奶300g183kcal、糖浆所含糖20g80kcal、浓缩约7kcal。</x:v>
      </x:c>
      <x:c r="N200" s="7" t="str">
        <x:v>核实本地门店是否在售、杯型容量、默认糖度和真实配方；估算份量不是品牌披露。</x:v>
      </x:c>
      <x:c r="O200" s="7" t="str">
        <x:v>2026-10-04</x:v>
      </x:c>
    </x:row>
    <x:row r="201" ht="63" customHeight="1">
      <x:c r="A201" s="9" t="str">
        <x:v>D200</x:v>
      </x:c>
      <x:c r="B201" s="9" t="str">
        <x:v>星巴克 Starbucks</x:v>
      </x:c>
      <x:c r="C201" s="9" t="str">
        <x:v>榛果风味拿铁</x:v>
      </x:c>
      <x:c r="D201" s="9" t="str">
        <x:v>未注明；估算按中杯约355ml</x:v>
      </x:c>
      <x:c r="E201" s="9" t="str">
        <x:v>未注明；估算含原配方糖浆</x:v>
      </x:c>
      <x:c r="F201" s="11" t="n">
        <x:v>270</x:v>
      </x:c>
      <x:c r="G201" s="9" t="str">
        <x:v>190–370</x:v>
      </x:c>
      <x:c r="H201" s="9" t="str">
        <x:v>配料估算</x:v>
      </x:c>
      <x:c r="I201" s="9" t="str">
        <x:v>榛果糖浆已计入</x:v>
      </x:c>
      <x:c r="J201" s="12" t="str">
        <x:v>待核实</x:v>
      </x:c>
      <x:c r="K201" s="12" t="str"/>
      <x:c r="L201" s="9" t="str">
        <x:v>https://www.starbucks.com.cn/menu/beverages/espresso/caffe-latte/</x:v>
      </x:c>
      <x:c r="M201" s="9" t="str">
        <x:v>大陆官方菜单确认饮品名称；本页不公布热量。假设牛奶300g183kcal、糖浆所含糖20g80kcal、浓缩约7kcal。</x:v>
      </x:c>
      <x:c r="N201" s="9" t="str">
        <x:v>核实本地门店是否在售、杯型容量、默认糖度和真实配方；估算份量不是品牌披露。</x:v>
      </x:c>
      <x:c r="O201" s="9" t="str">
        <x:v>2026-10-04</x:v>
      </x:c>
    </x:row>
    <x:row r="202" ht="46" customHeight="1">
      <x:c r="A202" s="7" t="str">
        <x:v>D201</x:v>
      </x:c>
      <x:c r="B202" s="7" t="str">
        <x:v>瑞幸咖啡</x:v>
      </x:c>
      <x:c r="C202" s="7" t="str">
        <x:v>生椰拿铁</x:v>
      </x:c>
      <x:c r="D202" s="7" t="str">
        <x:v>大杯/冰；毫升未注明</x:v>
      </x:c>
      <x:c r="E202" s="7" t="str">
        <x:v>不另外加糖</x:v>
      </x:c>
      <x:c r="F202" s="10" t="n">
        <x:v>179</x:v>
      </x:c>
      <x:c r="G202" s="7" t="str">
        <x:v>179–179</x:v>
      </x:c>
      <x:c r="H202" s="7" t="str">
        <x:v>官方参考</x:v>
      </x:c>
      <x:c r="I202" s="7" t="str">
        <x:v>椰乳已计入</x:v>
      </x:c>
      <x:c r="J202" s="12" t="str">
        <x:v>待核实</x:v>
      </x:c>
      <x:c r="K202" s="12" t="str"/>
      <x:c r="L202" s="7" t="str">
        <x:v>https://www.lkcoffee.com/products</x:v>
      </x:c>
      <x:c r="M202" s="7" t="str">
        <x:v>大陆瑞幸官方产品页直接公开热量；埃塞金烘/默认浓度。</x:v>
      </x:c>
      <x:c r="N202" s="7" t="str">
        <x:v>仅适用于所列默认配置；实际点单热/冰、杯型、咖啡豆、换奶、甜度变化需重新核对。</x:v>
      </x:c>
      <x:c r="O202" s="7" t="str">
        <x:v>2026-10-04</x:v>
      </x:c>
    </x:row>
    <x:row r="203" ht="46" customHeight="1">
      <x:c r="A203" s="9" t="str">
        <x:v>D202</x:v>
      </x:c>
      <x:c r="B203" s="9" t="str">
        <x:v>瑞幸咖啡</x:v>
      </x:c>
      <x:c r="C203" s="9" t="str">
        <x:v>茉莉花香拿铁</x:v>
      </x:c>
      <x:c r="D203" s="9" t="str">
        <x:v>大杯/冰；毫升未注明</x:v>
      </x:c>
      <x:c r="E203" s="9" t="str">
        <x:v>不另外加糖</x:v>
      </x:c>
      <x:c r="F203" s="11" t="n">
        <x:v>76</x:v>
      </x:c>
      <x:c r="G203" s="9" t="str">
        <x:v>76–76</x:v>
      </x:c>
      <x:c r="H203" s="9" t="str">
        <x:v>官方参考</x:v>
      </x:c>
      <x:c r="I203" s="9" t="str">
        <x:v>牛奶、茉莉茶已计入</x:v>
      </x:c>
      <x:c r="J203" s="12" t="str">
        <x:v>待核实</x:v>
      </x:c>
      <x:c r="K203" s="12" t="str"/>
      <x:c r="L203" s="9" t="str">
        <x:v>https://www.lkcoffee.com/products</x:v>
      </x:c>
      <x:c r="M203" s="9" t="str">
        <x:v>大陆瑞幸官方产品页直接公开热量；埃塞金烘/默认浓度/牛奶；搜索快照曾显示76-94，打开官网正文76，以此配置76为准。</x:v>
      </x:c>
      <x:c r="N203" s="9" t="str">
        <x:v>仅适用于所列默认配置；实际点单热/冰、杯型、咖啡豆、换奶、甜度变化需重新核对。</x:v>
      </x:c>
      <x:c r="O203" s="9" t="str">
        <x:v>2026-10-04</x:v>
      </x:c>
    </x:row>
    <x:row r="204" ht="46" customHeight="1">
      <x:c r="A204" s="7" t="str">
        <x:v>D203</x:v>
      </x:c>
      <x:c r="B204" s="7" t="str">
        <x:v>瑞幸咖啡</x:v>
      </x:c>
      <x:c r="C204" s="7" t="str">
        <x:v>拿铁</x:v>
      </x:c>
      <x:c r="D204" s="7" t="str">
        <x:v>大杯/热；毫升未注明</x:v>
      </x:c>
      <x:c r="E204" s="7" t="str">
        <x:v>不另外加糖</x:v>
      </x:c>
      <x:c r="F204" s="10" t="n">
        <x:v>268</x:v>
      </x:c>
      <x:c r="G204" s="7" t="str">
        <x:v>268–268</x:v>
      </x:c>
      <x:c r="H204" s="7" t="str">
        <x:v>官方参考</x:v>
      </x:c>
      <x:c r="I204" s="7" t="str">
        <x:v>牛奶已计入</x:v>
      </x:c>
      <x:c r="J204" s="12" t="str">
        <x:v>待核实</x:v>
      </x:c>
      <x:c r="K204" s="12" t="str"/>
      <x:c r="L204" s="7" t="str">
        <x:v>https://www.lkcoffee.com/products</x:v>
      </x:c>
      <x:c r="M204" s="7" t="str">
        <x:v>大陆瑞幸官方产品页直接公开热量；埃塞金烘/默认浓度/牛奶。</x:v>
      </x:c>
      <x:c r="N204" s="7" t="str">
        <x:v>仅适用于所列默认配置；实际点单热/冰、杯型、咖啡豆、换奶、甜度变化需重新核对。</x:v>
      </x:c>
      <x:c r="O204" s="7" t="str">
        <x:v>2026-10-04</x:v>
      </x:c>
    </x:row>
    <x:row r="205" ht="46" customHeight="1">
      <x:c r="A205" s="9" t="str">
        <x:v>D204</x:v>
      </x:c>
      <x:c r="B205" s="9" t="str">
        <x:v>瑞幸咖啡</x:v>
      </x:c>
      <x:c r="C205" s="9" t="str">
        <x:v>冰吸生椰拿铁</x:v>
      </x:c>
      <x:c r="D205" s="9" t="str">
        <x:v>大杯/冰；毫升未注明</x:v>
      </x:c>
      <x:c r="E205" s="9" t="str">
        <x:v>不另外加糖</x:v>
      </x:c>
      <x:c r="F205" s="11" t="n">
        <x:v>196</x:v>
      </x:c>
      <x:c r="G205" s="9" t="str">
        <x:v>196–196</x:v>
      </x:c>
      <x:c r="H205" s="9" t="str">
        <x:v>官方参考</x:v>
      </x:c>
      <x:c r="I205" s="9" t="str">
        <x:v>椰乳、清凉配方已计入</x:v>
      </x:c>
      <x:c r="J205" s="12" t="str">
        <x:v>待核实</x:v>
      </x:c>
      <x:c r="K205" s="12" t="str"/>
      <x:c r="L205" s="9" t="str">
        <x:v>https://www.lkcoffee.com/products</x:v>
      </x:c>
      <x:c r="M205" s="9" t="str">
        <x:v>大陆瑞幸官方产品页直接公开热量；意式拼配/默认浓度。</x:v>
      </x:c>
      <x:c r="N205" s="9" t="str">
        <x:v>仅适用于所列默认配置；实际点单热/冰、杯型、咖啡豆、换奶、甜度变化需重新核对。</x:v>
      </x:c>
      <x:c r="O205" s="9" t="str">
        <x:v>2026-10-04</x:v>
      </x:c>
    </x:row>
    <x:row r="206" ht="46" customHeight="1">
      <x:c r="A206" s="7" t="str">
        <x:v>D205</x:v>
      </x:c>
      <x:c r="B206" s="7" t="str">
        <x:v>瑞幸咖啡</x:v>
      </x:c>
      <x:c r="C206" s="7" t="str">
        <x:v>小黄油拿铁</x:v>
      </x:c>
      <x:c r="D206" s="7" t="str">
        <x:v>大杯/冰；毫升未注明</x:v>
      </x:c>
      <x:c r="E206" s="7" t="str">
        <x:v>不另外加糖</x:v>
      </x:c>
      <x:c r="F206" s="10" t="n">
        <x:v>250</x:v>
      </x:c>
      <x:c r="G206" s="7" t="str">
        <x:v>250–250</x:v>
      </x:c>
      <x:c r="H206" s="7" t="str">
        <x:v>官方参考</x:v>
      </x:c>
      <x:c r="I206" s="7" t="str">
        <x:v>黄油风味基底已计入</x:v>
      </x:c>
      <x:c r="J206" s="12" t="str">
        <x:v>待核实</x:v>
      </x:c>
      <x:c r="K206" s="12" t="str"/>
      <x:c r="L206" s="7" t="str">
        <x:v>https://www.lkcoffee.com/products</x:v>
      </x:c>
      <x:c r="M206" s="7" t="str">
        <x:v>大陆瑞幸官方产品页直接公开热量；埃塞金烘/默认浓度。</x:v>
      </x:c>
      <x:c r="N206" s="7" t="str">
        <x:v>仅适用于所列默认配置；实际点单热/冰、杯型、咖啡豆、换奶、甜度变化需重新核对。</x:v>
      </x:c>
      <x:c r="O206" s="7" t="str">
        <x:v>2026-10-04</x:v>
      </x:c>
    </x:row>
    <x:row r="207" ht="46" customHeight="1">
      <x:c r="A207" s="9" t="str">
        <x:v>D206</x:v>
      </x:c>
      <x:c r="B207" s="9" t="str">
        <x:v>瑞幸咖啡</x:v>
      </x:c>
      <x:c r="C207" s="9" t="str">
        <x:v>生椰三重奏拿铁</x:v>
      </x:c>
      <x:c r="D207" s="9" t="str">
        <x:v>大杯/冰；毫升未注明</x:v>
      </x:c>
      <x:c r="E207" s="9" t="str">
        <x:v>微甜</x:v>
      </x:c>
      <x:c r="F207" s="11" t="n">
        <x:v>470</x:v>
      </x:c>
      <x:c r="G207" s="9" t="str">
        <x:v>470–470</x:v>
      </x:c>
      <x:c r="H207" s="9" t="str">
        <x:v>官方参考</x:v>
      </x:c>
      <x:c r="I207" s="9" t="str">
        <x:v>椰子奶油顶、椰奶冻、椰浆已计入</x:v>
      </x:c>
      <x:c r="J207" s="12" t="str">
        <x:v>待核实</x:v>
      </x:c>
      <x:c r="K207" s="12" t="str"/>
      <x:c r="L207" s="9" t="str">
        <x:v>https://www.lkcoffee.com/products</x:v>
      </x:c>
      <x:c r="M207" s="9" t="str">
        <x:v>大陆瑞幸官方产品页直接公开热量；意式拼配/默认浓度。</x:v>
      </x:c>
      <x:c r="N207" s="9" t="str">
        <x:v>仅适用于所列默认配置；实际点单热/冰、杯型、咖啡豆、换奶、甜度变化需重新核对。</x:v>
      </x:c>
      <x:c r="O207" s="9" t="str">
        <x:v>2026-10-04</x:v>
      </x:c>
    </x:row>
    <x:row r="208" ht="46" customHeight="1">
      <x:c r="A208" s="7" t="str">
        <x:v>D207</x:v>
      </x:c>
      <x:c r="B208" s="7" t="str">
        <x:v>瑞幸咖啡</x:v>
      </x:c>
      <x:c r="C208" s="7" t="str">
        <x:v>轻椰茉莉拿铁</x:v>
      </x:c>
      <x:c r="D208" s="7" t="str">
        <x:v>大杯/冰；毫升未注明</x:v>
      </x:c>
      <x:c r="E208" s="7" t="str">
        <x:v>不另外加糖</x:v>
      </x:c>
      <x:c r="F208" s="10" t="n">
        <x:v>120</x:v>
      </x:c>
      <x:c r="G208" s="7" t="str">
        <x:v>120–120</x:v>
      </x:c>
      <x:c r="H208" s="7" t="str">
        <x:v>官方参考</x:v>
      </x:c>
      <x:c r="I208" s="7" t="str">
        <x:v>椰乳、茉莉茶已计入</x:v>
      </x:c>
      <x:c r="J208" s="12" t="str">
        <x:v>待核实</x:v>
      </x:c>
      <x:c r="K208" s="12" t="str"/>
      <x:c r="L208" s="7" t="str">
        <x:v>https://www.lkcoffee.com/products</x:v>
      </x:c>
      <x:c r="M208" s="7" t="str">
        <x:v>大陆瑞幸官方产品页直接公开热量；意式拼配/默认浓度。</x:v>
      </x:c>
      <x:c r="N208" s="7" t="str">
        <x:v>仅适用于所列默认配置；实际点单热/冰、杯型、咖啡豆、换奶、甜度变化需重新核对。</x:v>
      </x:c>
      <x:c r="O208" s="7" t="str">
        <x:v>2026-10-04</x:v>
      </x:c>
    </x:row>
    <x:row r="209" ht="46" customHeight="1">
      <x:c r="A209" s="9" t="str">
        <x:v>D208</x:v>
      </x:c>
      <x:c r="B209" s="9" t="str">
        <x:v>瑞幸咖啡</x:v>
      </x:c>
      <x:c r="C209" s="9" t="str">
        <x:v>丝绒拿铁</x:v>
      </x:c>
      <x:c r="D209" s="9" t="str">
        <x:v>大杯/热；毫升未注明</x:v>
      </x:c>
      <x:c r="E209" s="9" t="str">
        <x:v>不另外加糖</x:v>
      </x:c>
      <x:c r="F209" s="11" t="n">
        <x:v>376</x:v>
      </x:c>
      <x:c r="G209" s="9" t="str">
        <x:v>376–376</x:v>
      </x:c>
      <x:c r="H209" s="9" t="str">
        <x:v>官方参考</x:v>
      </x:c>
      <x:c r="I209" s="9" t="str">
        <x:v>丝绒风味厚奶已计入</x:v>
      </x:c>
      <x:c r="J209" s="12" t="str">
        <x:v>待核实</x:v>
      </x:c>
      <x:c r="K209" s="12" t="str"/>
      <x:c r="L209" s="9" t="str">
        <x:v>https://www.lkcoffee.com/products</x:v>
      </x:c>
      <x:c r="M209" s="9" t="str">
        <x:v>大陆瑞幸官方产品页直接公开热量；埃塞金烘/默认浓度。</x:v>
      </x:c>
      <x:c r="N209" s="9" t="str">
        <x:v>仅适用于所列默认配置；实际点单热/冰、杯型、咖啡豆、换奶、甜度变化需重新核对。</x:v>
      </x:c>
      <x:c r="O209" s="9" t="str">
        <x:v>2026-10-04</x:v>
      </x:c>
    </x:row>
    <x:row r="210" ht="46" customHeight="1">
      <x:c r="A210" s="7" t="str">
        <x:v>D209</x:v>
      </x:c>
      <x:c r="B210" s="7" t="str">
        <x:v>库迪咖啡</x:v>
      </x:c>
      <x:c r="C210" s="7" t="str">
        <x:v>生椰拿铁</x:v>
      </x:c>
      <x:c r="D210" s="7" t="str">
        <x:v>355-591ml（菜单范围；估算按大杯）</x:v>
      </x:c>
      <x:c r="E210" s="7" t="str">
        <x:v>未注明</x:v>
      </x:c>
      <x:c r="F210" s="10" t="n">
        <x:v>230</x:v>
      </x:c>
      <x:c r="G210" s="7" t="str">
        <x:v>150–360</x:v>
      </x:c>
      <x:c r="H210" s="7" t="str">
        <x:v>配料估算</x:v>
      </x:c>
      <x:c r="I210" s="7" t="str">
        <x:v>椰乳已计入</x:v>
      </x:c>
      <x:c r="J210" s="12" t="str">
        <x:v>待核实</x:v>
      </x:c>
      <x:c r="K210" s="12" t="str"/>
      <x:c r="L210" s="7" t="str">
        <x:v>https://www.nckfhsm.com/brands/ku-di-ka-fei/menu/available</x:v>
      </x:c>
      <x:c r="M210" s="7" t="str">
        <x:v>第三方大陆菜单列出名称但无热量；假设椰乳基底250ml约200kcal、调味糖20-30kcal；实际品牌椰乳营养表未找到。</x:v>
      </x:c>
      <x:c r="N210" s="7" t="str">
        <x:v>核实本地门店是否在售、杯型容量、默认糖度和真实配方；估算份量不是品牌披露。</x:v>
      </x:c>
      <x:c r="O210" s="7" t="str">
        <x:v>2026-10-04</x:v>
      </x:c>
    </x:row>
    <x:row r="211" ht="46" customHeight="1">
      <x:c r="A211" s="9" t="str">
        <x:v>D210</x:v>
      </x:c>
      <x:c r="B211" s="9" t="str">
        <x:v>库迪咖啡</x:v>
      </x:c>
      <x:c r="C211" s="9" t="str">
        <x:v>潘帕斯蓝椰拿铁</x:v>
      </x:c>
      <x:c r="D211" s="9" t="str">
        <x:v>355-591ml（菜单范围；估算按大杯）</x:v>
      </x:c>
      <x:c r="E211" s="9" t="str">
        <x:v>未注明</x:v>
      </x:c>
      <x:c r="F211" s="11" t="n">
        <x:v>310</x:v>
      </x:c>
      <x:c r="G211" s="9" t="str">
        <x:v>200–470</x:v>
      </x:c>
      <x:c r="H211" s="9" t="str">
        <x:v>配料估算</x:v>
      </x:c>
      <x:c r="I211" s="9" t="str">
        <x:v>晶球；牛乳、椰浆及调味已计入</x:v>
      </x:c>
      <x:c r="J211" s="12" t="str">
        <x:v>待核实</x:v>
      </x:c>
      <x:c r="K211" s="12" t="str"/>
      <x:c r="L211" s="9" t="str">
        <x:v>https://www.nckfhsm.com/products/pan-pa-si-lan-ye-na-tie</x:v>
      </x:c>
      <x:c r="M211" s="9" t="str">
        <x:v>第三方单品页确认牛乳、椰浆、咖啡、晶球，无热量。假设牛乳/椰浆基底200kcal、晶球50g约50kcal、调味约60kcal。</x:v>
      </x:c>
      <x:c r="N211" s="9" t="str">
        <x:v>核实本地门店是否在售、杯型容量、默认糖度和真实配方；估算份量不是品牌披露。</x:v>
      </x:c>
      <x:c r="O211" s="9" t="str">
        <x:v>2026-10-04</x:v>
      </x:c>
    </x:row>
    <x:row r="212" ht="46" customHeight="1">
      <x:c r="A212" s="7" t="str">
        <x:v>D211</x:v>
      </x:c>
      <x:c r="B212" s="7" t="str">
        <x:v>库迪咖啡</x:v>
      </x:c>
      <x:c r="C212" s="7" t="str">
        <x:v>经典拿铁</x:v>
      </x:c>
      <x:c r="D212" s="7" t="str">
        <x:v>355-591ml（菜单范围；估算按大杯）</x:v>
      </x:c>
      <x:c r="E212" s="7" t="str">
        <x:v>不额外加糖（估算选定版本）</x:v>
      </x:c>
      <x:c r="F212" s="10" t="n">
        <x:v>200</x:v>
      </x:c>
      <x:c r="G212" s="7" t="str">
        <x:v>140–300</x:v>
      </x:c>
      <x:c r="H212" s="7" t="str">
        <x:v>配料估算</x:v>
      </x:c>
      <x:c r="I212" s="7" t="str">
        <x:v>牛乳已计入</x:v>
      </x:c>
      <x:c r="J212" s="12" t="str">
        <x:v>待核实</x:v>
      </x:c>
      <x:c r="K212" s="12" t="str"/>
      <x:c r="L212" s="7" t="str">
        <x:v>https://www.nckfhsm.com/products/jing-dian-na-tie-27779</x:v>
      </x:c>
      <x:c r="M212" s="7" t="str">
        <x:v>第三方单品页确认牛乳咖啡和不额外加糖选项，无热量。假设牛乳320g约195kcal、浓缩约5kcal。</x:v>
      </x:c>
      <x:c r="N212" s="7" t="str">
        <x:v>核实本地门店是否在售、杯型容量、默认糖度和真实配方；估算份量不是品牌披露。</x:v>
      </x:c>
      <x:c r="O212" s="7" t="str">
        <x:v>2026-10-04</x:v>
      </x:c>
    </x:row>
    <x:row r="213" ht="63" customHeight="1">
      <x:c r="A213" s="9" t="str">
        <x:v>D212</x:v>
      </x:c>
      <x:c r="B213" s="9" t="str">
        <x:v>库迪咖啡</x:v>
      </x:c>
      <x:c r="C213" s="9" t="str">
        <x:v>小黄油拿铁</x:v>
      </x:c>
      <x:c r="D213" s="9" t="str">
        <x:v>355-591ml（菜单范围；估算按大杯）</x:v>
      </x:c>
      <x:c r="E213" s="9" t="str">
        <x:v>未注明</x:v>
      </x:c>
      <x:c r="F213" s="11" t="n">
        <x:v>290</x:v>
      </x:c>
      <x:c r="G213" s="9" t="str">
        <x:v>190–430</x:v>
      </x:c>
      <x:c r="H213" s="9" t="str">
        <x:v>配料估算</x:v>
      </x:c>
      <x:c r="I213" s="9" t="str">
        <x:v>黄油风味基底已计入</x:v>
      </x:c>
      <x:c r="J213" s="12" t="str">
        <x:v>待核实</x:v>
      </x:c>
      <x:c r="K213" s="12" t="str"/>
      <x:c r="L213" s="9" t="str">
        <x:v>https://www.nckfhsm.com/brands/ku-di-ka-fei/menu/available?page=2</x:v>
      </x:c>
      <x:c r="M213" s="9" t="str">
        <x:v>第三方菜单确认名称但无热量；假设牛奶250g153kcal、含黄油调味基底约130kcal、浓缩约7kcal。</x:v>
      </x:c>
      <x:c r="N213" s="9" t="str">
        <x:v>核实本地门店是否在售、杯型容量、默认糖度和真实配方；估算份量不是品牌披露。</x:v>
      </x:c>
      <x:c r="O213" s="9" t="str">
        <x:v>2026-10-04</x:v>
      </x:c>
    </x:row>
    <x:row r="214" ht="63" customHeight="1">
      <x:c r="A214" s="7" t="str">
        <x:v>D213</x:v>
      </x:c>
      <x:c r="B214" s="7" t="str">
        <x:v>库迪咖啡</x:v>
      </x:c>
      <x:c r="C214" s="7" t="str">
        <x:v>小黄油美式</x:v>
      </x:c>
      <x:c r="D214" s="7" t="str">
        <x:v>355-591ml（范围；热量对应杯型未注明）</x:v>
      </x:c>
      <x:c r="E214" s="7" t="str">
        <x:v>未注明</x:v>
      </x:c>
      <x:c r="F214" s="10" t="n">
        <x:v>190</x:v>
      </x:c>
      <x:c r="G214" s="7" t="str">
        <x:v>170–205</x:v>
      </x:c>
      <x:c r="H214" s="7" t="str">
        <x:v>第三方参考</x:v>
      </x:c>
      <x:c r="I214" s="7" t="str">
        <x:v>黄油风味基底已计入</x:v>
      </x:c>
      <x:c r="J214" s="12" t="str">
        <x:v>待核实</x:v>
      </x:c>
      <x:c r="K214" s="12" t="str"/>
      <x:c r="L214" s="7" t="str">
        <x:v>https://www.nckfhsm.com/brands/ku-di-ka-fei/menu/available?page=2</x:v>
      </x:c>
      <x:c r="M214" s="7" t="str">
        <x:v>第三方菜单列170-205kcal；代表值取190，不对应确定杯型/糖度；网站称资料收集自互联网，未说明检测来源。</x:v>
      </x:c>
      <x:c r="N214" s="7" t="str">
        <x:v>优先核实热量对应容量/甜度及当前配方；同值range只表示网站给一个数字，不表示所有配置恒定。</x:v>
      </x:c>
      <x:c r="O214" s="7" t="str">
        <x:v>2026-10-04</x:v>
      </x:c>
    </x:row>
    <x:row r="215" ht="63" customHeight="1">
      <x:c r="A215" s="9" t="str">
        <x:v>D214</x:v>
      </x:c>
      <x:c r="B215" s="9" t="str">
        <x:v>库迪咖啡</x:v>
      </x:c>
      <x:c r="C215" s="9" t="str">
        <x:v>超燃椰青美式</x:v>
      </x:c>
      <x:c r="D215" s="9" t="str">
        <x:v>355-591ml（范围；热量对应杯型未注明）</x:v>
      </x:c>
      <x:c r="E215" s="9" t="str">
        <x:v>未注明</x:v>
      </x:c>
      <x:c r="F215" s="11" t="n">
        <x:v>95</x:v>
      </x:c>
      <x:c r="G215" s="9" t="str">
        <x:v>95–95</x:v>
      </x:c>
      <x:c r="H215" s="9" t="str">
        <x:v>第三方参考</x:v>
      </x:c>
      <x:c r="I215" s="9" t="str">
        <x:v>椰子水已计入</x:v>
      </x:c>
      <x:c r="J215" s="12" t="str">
        <x:v>待核实</x:v>
      </x:c>
      <x:c r="K215" s="12" t="str"/>
      <x:c r="L215" s="9" t="str">
        <x:v>https://www.nckfhsm.com/brands/ku-di-ka-fei/menu/available?page=2</x:v>
      </x:c>
      <x:c r="M215" s="9" t="str">
        <x:v>第三方菜单列95kcal但未注明对应配置；网站称资料收集自互联网，未说明检测来源。</x:v>
      </x:c>
      <x:c r="N215" s="9" t="str">
        <x:v>优先核实热量对应容量/甜度及当前配方；同值range只表示网站给一个数字，不表示所有配置恒定。</x:v>
      </x:c>
      <x:c r="O215" s="9" t="str">
        <x:v>2026-10-04</x:v>
      </x:c>
    </x:row>
    <x:row r="216" ht="63" customHeight="1">
      <x:c r="A216" s="7" t="str">
        <x:v>D215</x:v>
      </x:c>
      <x:c r="B216" s="7" t="str">
        <x:v>库迪咖啡</x:v>
      </x:c>
      <x:c r="C216" s="7" t="str">
        <x:v>茉莉花香拿铁</x:v>
      </x:c>
      <x:c r="D216" s="7" t="str">
        <x:v>355-591ml（范围；热量对应杯型未注明）</x:v>
      </x:c>
      <x:c r="E216" s="7" t="str">
        <x:v>未注明</x:v>
      </x:c>
      <x:c r="F216" s="10" t="n">
        <x:v>141</x:v>
      </x:c>
      <x:c r="G216" s="7" t="str">
        <x:v>141–141</x:v>
      </x:c>
      <x:c r="H216" s="7" t="str">
        <x:v>第三方参考</x:v>
      </x:c>
      <x:c r="I216" s="7" t="str">
        <x:v>奶基底和茉莉茶已计入</x:v>
      </x:c>
      <x:c r="J216" s="12" t="str">
        <x:v>待核实</x:v>
      </x:c>
      <x:c r="K216" s="12" t="str"/>
      <x:c r="L216" s="7" t="str">
        <x:v>https://www.nckfhsm.com/brands/ku-di-ka-fei/menu/available?page=2</x:v>
      </x:c>
      <x:c r="M216" s="7" t="str">
        <x:v>第三方菜单列141kcal但未注明对应配置；网站称资料收集自互联网，未说明检测来源。</x:v>
      </x:c>
      <x:c r="N216" s="7" t="str">
        <x:v>优先核实热量对应容量/甜度及当前配方；同值range只表示网站给一个数字，不表示所有配置恒定。</x:v>
      </x:c>
      <x:c r="O216" s="7" t="str">
        <x:v>2026-10-04</x:v>
      </x:c>
    </x:row>
    <x:row r="217" ht="63" customHeight="1">
      <x:c r="A217" s="9" t="str">
        <x:v>D216</x:v>
      </x:c>
      <x:c r="B217" s="9" t="str">
        <x:v>库迪咖啡</x:v>
      </x:c>
      <x:c r="C217" s="9" t="str">
        <x:v>金奖深烘美式</x:v>
      </x:c>
      <x:c r="D217" s="9" t="str">
        <x:v>355-591ml（范围；热量对应杯型未注明）</x:v>
      </x:c>
      <x:c r="E217" s="9" t="str">
        <x:v>不额外加糖（估算选定版本）</x:v>
      </x:c>
      <x:c r="F217" s="11" t="n">
        <x:v>10</x:v>
      </x:c>
      <x:c r="G217" s="9" t="str">
        <x:v>5–20</x:v>
      </x:c>
      <x:c r="H217" s="9" t="str">
        <x:v>配料估算</x:v>
      </x:c>
      <x:c r="I217" s="9" t="str">
        <x:v>无</x:v>
      </x:c>
      <x:c r="J217" s="12" t="str">
        <x:v>待核实</x:v>
      </x:c>
      <x:c r="K217" s="12" t="str"/>
      <x:c r="L217" s="9" t="str">
        <x:v>https://www.nckfhsm.com/brands/ku-di-ka-fei/menu/available?page=4</x:v>
      </x:c>
      <x:c r="M217" s="9" t="str">
        <x:v>第三方菜单列品名、容量范围并写近零热量；无奶无糖浓缩兑水按约5-15kcal估算，10为取整候选。</x:v>
      </x:c>
      <x:c r="N217" s="9" t="str">
        <x:v>核实无糖无奶配置、咖啡浓度与容量；0kcal通常是近零口径，不代表严格无能量。</x:v>
      </x:c>
      <x:c r="O217" s="9" t="str">
        <x:v>2026-10-04</x:v>
      </x:c>
    </x:row>
    <x:row r="218" ht="46" customHeight="1">
      <x:c r="A218" s="7" t="str">
        <x:v>D217</x:v>
      </x:c>
      <x:c r="B218" s="7" t="str">
        <x:v>幸运咖</x:v>
      </x:c>
      <x:c r="C218" s="7" t="str">
        <x:v>经典美式</x:v>
      </x:c>
      <x:c r="D218" s="7" t="str">
        <x:v>未注明</x:v>
      </x:c>
      <x:c r="E218" s="7" t="str">
        <x:v>不另外加糖（估算配置）</x:v>
      </x:c>
      <x:c r="F218" s="10" t="n">
        <x:v>10</x:v>
      </x:c>
      <x:c r="G218" s="7" t="str">
        <x:v>5–20</x:v>
      </x:c>
      <x:c r="H218" s="7" t="str">
        <x:v>配料估算</x:v>
      </x:c>
      <x:c r="I218" s="7" t="str">
        <x:v>无</x:v>
      </x:c>
      <x:c r="J218" s="12" t="str">
        <x:v>待核实</x:v>
      </x:c>
      <x:c r="K218" s="12" t="str"/>
      <x:c r="L218" s="7" t="str">
        <x:v>https://www.nckfhsm.com/brands/xing-yun-ka/menu/available</x:v>
      </x:c>
      <x:c r="M218" s="7" t="str">
        <x:v>第三方大陆菜单提供品名；菜单写0kcal；按无糖无奶浓缩约5-15kcal估算，避免误认为绝对零。</x:v>
      </x:c>
      <x:c r="N218" s="7" t="str">
        <x:v>核实本地门店是否在售、杯型容量、默认糖度和真实配方；估算份量不是品牌披露。</x:v>
      </x:c>
      <x:c r="O218" s="7" t="str">
        <x:v>2026-10-04</x:v>
      </x:c>
    </x:row>
    <x:row r="219" ht="46" customHeight="1">
      <x:c r="A219" s="9" t="str">
        <x:v>D218</x:v>
      </x:c>
      <x:c r="B219" s="9" t="str">
        <x:v>幸运咖</x:v>
      </x:c>
      <x:c r="C219" s="9" t="str">
        <x:v>椰椰拿铁</x:v>
      </x:c>
      <x:c r="D219" s="9" t="str">
        <x:v>未注明</x:v>
      </x:c>
      <x:c r="E219" s="9" t="str">
        <x:v>未注明</x:v>
      </x:c>
      <x:c r="F219" s="11" t="n">
        <x:v>250</x:v>
      </x:c>
      <x:c r="G219" s="9" t="str">
        <x:v>160–390</x:v>
      </x:c>
      <x:c r="H219" s="9" t="str">
        <x:v>配料估算</x:v>
      </x:c>
      <x:c r="I219" s="9" t="str">
        <x:v>椰乳已计入</x:v>
      </x:c>
      <x:c r="J219" s="12" t="str">
        <x:v>待核实</x:v>
      </x:c>
      <x:c r="K219" s="12" t="str"/>
      <x:c r="L219" s="9" t="str">
        <x:v>https://www.nckfhsm.com/brands/xing-yun-ka/menu/available</x:v>
      </x:c>
      <x:c r="M219" s="9" t="str">
        <x:v>第三方大陆菜单提供品名；假设椰乳基底250ml约200kcal、糖/调味约50kcal。</x:v>
      </x:c>
      <x:c r="N219" s="9" t="str">
        <x:v>核实本地门店是否在售、杯型容量、默认糖度和真实配方；估算份量不是品牌披露。</x:v>
      </x:c>
      <x:c r="O219" s="9" t="str">
        <x:v>2026-10-04</x:v>
      </x:c>
    </x:row>
    <x:row r="220" ht="46" customHeight="1">
      <x:c r="A220" s="7" t="str">
        <x:v>D219</x:v>
      </x:c>
      <x:c r="B220" s="7" t="str">
        <x:v>幸运咖</x:v>
      </x:c>
      <x:c r="C220" s="7" t="str">
        <x:v>铁观音拿铁</x:v>
      </x:c>
      <x:c r="D220" s="7" t="str">
        <x:v>未注明</x:v>
      </x:c>
      <x:c r="E220" s="7" t="str">
        <x:v>未注明</x:v>
      </x:c>
      <x:c r="F220" s="10" t="n">
        <x:v>230</x:v>
      </x:c>
      <x:c r="G220" s="7" t="str">
        <x:v>140–340</x:v>
      </x:c>
      <x:c r="H220" s="7" t="str">
        <x:v>配料估算</x:v>
      </x:c>
      <x:c r="I220" s="7" t="str">
        <x:v>奶、茶咖基底已计入；是否含咖啡待核实</x:v>
      </x:c>
      <x:c r="J220" s="12" t="str">
        <x:v>待核实</x:v>
      </x:c>
      <x:c r="K220" s="12" t="str"/>
      <x:c r="L220" s="7" t="str">
        <x:v>https://www.nckfhsm.com/brands/xing-yun-ka/menu/available</x:v>
      </x:c>
      <x:c r="M220" s="7" t="str">
        <x:v>第三方大陆菜单提供品名；假设牛奶250g153kcal、糖20g80kcal，茶/咖啡约0-10kcal。</x:v>
      </x:c>
      <x:c r="N220" s="7" t="str">
        <x:v>核实本地门店是否在售、杯型容量、默认糖度和真实配方；估算份量不是品牌披露。</x:v>
      </x:c>
      <x:c r="O220" s="7" t="str">
        <x:v>2026-10-04</x:v>
      </x:c>
    </x:row>
    <x:row r="221" ht="46" customHeight="1">
      <x:c r="A221" s="9" t="str">
        <x:v>D220</x:v>
      </x:c>
      <x:c r="B221" s="9" t="str">
        <x:v>幸运咖</x:v>
      </x:c>
      <x:c r="C221" s="9" t="str">
        <x:v>招牌冰拿铁</x:v>
      </x:c>
      <x:c r="D221" s="9" t="str">
        <x:v>未注明</x:v>
      </x:c>
      <x:c r="E221" s="9" t="str">
        <x:v>未注明</x:v>
      </x:c>
      <x:c r="F221" s="11" t="n">
        <x:v>220</x:v>
      </x:c>
      <x:c r="G221" s="9" t="str">
        <x:v>130–330</x:v>
      </x:c>
      <x:c r="H221" s="9" t="str">
        <x:v>配料估算</x:v>
      </x:c>
      <x:c r="I221" s="9" t="str">
        <x:v>牛奶已计入</x:v>
      </x:c>
      <x:c r="J221" s="12" t="str">
        <x:v>待核实</x:v>
      </x:c>
      <x:c r="K221" s="12" t="str"/>
      <x:c r="L221" s="9" t="str">
        <x:v>https://www.nckfhsm.com/brands/xing-yun-ka/menu/available</x:v>
      </x:c>
      <x:c r="M221" s="9" t="str">
        <x:v>第三方大陆菜单提供品名；假设牛奶250g153kcal、糖15g60kcal、浓缩约7kcal。</x:v>
      </x:c>
      <x:c r="N221" s="9" t="str">
        <x:v>核实本地门店是否在售、杯型容量、默认糖度和真实配方；估算份量不是品牌披露。</x:v>
      </x:c>
      <x:c r="O221" s="9" t="str">
        <x:v>2026-10-04</x:v>
      </x:c>
    </x:row>
    <x:row r="222" ht="46" customHeight="1">
      <x:c r="A222" s="7" t="str">
        <x:v>D221</x:v>
      </x:c>
      <x:c r="B222" s="7" t="str">
        <x:v>幸运咖</x:v>
      </x:c>
      <x:c r="C222" s="7" t="str">
        <x:v>全冰醇香拿铁</x:v>
      </x:c>
      <x:c r="D222" s="7" t="str">
        <x:v>未注明</x:v>
      </x:c>
      <x:c r="E222" s="7" t="str">
        <x:v>未注明</x:v>
      </x:c>
      <x:c r="F222" s="10" t="n">
        <x:v>170</x:v>
      </x:c>
      <x:c r="G222" s="7" t="str">
        <x:v>100–270</x:v>
      </x:c>
      <x:c r="H222" s="7" t="str">
        <x:v>配料估算</x:v>
      </x:c>
      <x:c r="I222" s="7" t="str">
        <x:v>牛奶已计入</x:v>
      </x:c>
      <x:c r="J222" s="12" t="str">
        <x:v>待核实</x:v>
      </x:c>
      <x:c r="K222" s="12" t="str"/>
      <x:c r="L222" s="7" t="str">
        <x:v>https://www.nckfhsm.com/brands/xing-yun-ka/menu/available</x:v>
      </x:c>
      <x:c r="M222" s="7" t="str">
        <x:v>第三方大陆菜单提供品名；假设冰多乳量少，牛奶200g122kcal、糖10g40kcal、浓缩约8kcal。</x:v>
      </x:c>
      <x:c r="N222" s="7" t="str">
        <x:v>核实本地门店是否在售、杯型容量、默认糖度和真实配方；估算份量不是品牌披露。</x:v>
      </x:c>
      <x:c r="O222" s="7" t="str">
        <x:v>2026-10-04</x:v>
      </x:c>
    </x:row>
    <x:row r="223" ht="46" customHeight="1">
      <x:c r="A223" s="9" t="str">
        <x:v>D222</x:v>
      </x:c>
      <x:c r="B223" s="9" t="str">
        <x:v>幸运咖</x:v>
      </x:c>
      <x:c r="C223" s="9" t="str">
        <x:v>可可咖啡</x:v>
      </x:c>
      <x:c r="D223" s="9" t="str">
        <x:v>未注明</x:v>
      </x:c>
      <x:c r="E223" s="9" t="str">
        <x:v>未注明</x:v>
      </x:c>
      <x:c r="F223" s="11" t="n">
        <x:v>310</x:v>
      </x:c>
      <x:c r="G223" s="9" t="str">
        <x:v>200–450</x:v>
      </x:c>
      <x:c r="H223" s="9" t="str">
        <x:v>配料估算</x:v>
      </x:c>
      <x:c r="I223" s="9" t="str">
        <x:v>可可、牛奶已计入</x:v>
      </x:c>
      <x:c r="J223" s="12" t="str">
        <x:v>待核实</x:v>
      </x:c>
      <x:c r="K223" s="12" t="str"/>
      <x:c r="L223" s="9" t="str">
        <x:v>https://www.nckfhsm.com/brands/xing-yun-ka/menu/available</x:v>
      </x:c>
      <x:c r="M223" s="9" t="str">
        <x:v>第三方大陆菜单提供品名；假设牛奶250g153kcal、甜可可基底/糖约150kcal、浓缩约7kcal。</x:v>
      </x:c>
      <x:c r="N223" s="9" t="str">
        <x:v>核实本地门店是否在售、杯型容量、默认糖度和真实配方；估算份量不是品牌披露。</x:v>
      </x:c>
      <x:c r="O223" s="9" t="str">
        <x:v>2026-10-04</x:v>
      </x:c>
    </x:row>
    <x:row r="224" ht="46" customHeight="1">
      <x:c r="A224" s="7" t="str">
        <x:v>D223</x:v>
      </x:c>
      <x:c r="B224" s="7" t="str">
        <x:v>幸运咖</x:v>
      </x:c>
      <x:c r="C224" s="7" t="str">
        <x:v>可可牛奶</x:v>
      </x:c>
      <x:c r="D224" s="7" t="str">
        <x:v>未注明</x:v>
      </x:c>
      <x:c r="E224" s="7" t="str">
        <x:v>未注明</x:v>
      </x:c>
      <x:c r="F224" s="10" t="n">
        <x:v>300</x:v>
      </x:c>
      <x:c r="G224" s="7" t="str">
        <x:v>190–440</x:v>
      </x:c>
      <x:c r="H224" s="7" t="str">
        <x:v>配料估算</x:v>
      </x:c>
      <x:c r="I224" s="7" t="str">
        <x:v>可可、牛奶已计入</x:v>
      </x:c>
      <x:c r="J224" s="12" t="str">
        <x:v>待核实</x:v>
      </x:c>
      <x:c r="K224" s="12" t="str"/>
      <x:c r="L224" s="7" t="str">
        <x:v>https://www.nckfhsm.com/brands/xing-yun-ka/menu/available</x:v>
      </x:c>
      <x:c r="M224" s="7" t="str">
        <x:v>第三方大陆菜单提供品名；假设牛奶250g153kcal、甜可可基底/糖约150kcal。</x:v>
      </x:c>
      <x:c r="N224" s="7" t="str">
        <x:v>核实本地门店是否在售、杯型容量、默认糖度和真实配方；估算份量不是品牌披露。</x:v>
      </x:c>
      <x:c r="O224" s="7" t="str">
        <x:v>2026-10-04</x:v>
      </x:c>
    </x:row>
    <x:row r="225" ht="46" customHeight="1">
      <x:c r="A225" s="9" t="str">
        <x:v>D224</x:v>
      </x:c>
      <x:c r="B225" s="9" t="str">
        <x:v>幸运咖</x:v>
      </x:c>
      <x:c r="C225" s="9" t="str">
        <x:v>咖啡雪球泡鲁达</x:v>
      </x:c>
      <x:c r="D225" s="9" t="str">
        <x:v>未注明</x:v>
      </x:c>
      <x:c r="E225" s="9" t="str">
        <x:v>未注明</x:v>
      </x:c>
      <x:c r="F225" s="11" t="n">
        <x:v>440</x:v>
      </x:c>
      <x:c r="G225" s="9" t="str">
        <x:v>290–660</x:v>
      </x:c>
      <x:c r="H225" s="9" t="str">
        <x:v>配料估算</x:v>
      </x:c>
      <x:c r="I225" s="9" t="str">
        <x:v>雪球及泡鲁达配料按名称假设，待核实</x:v>
      </x:c>
      <x:c r="J225" s="12" t="str">
        <x:v>待核实</x:v>
      </x:c>
      <x:c r="K225" s="12" t="str"/>
      <x:c r="L225" s="9" t="str">
        <x:v>https://www.nckfhsm.com/brands/xing-yun-ka/menu/available</x:v>
      </x:c>
      <x:c r="M225" s="9" t="str">
        <x:v>第三方大陆菜单提供品名；假设奶咖基底200kcal、雪球约120kcal、面包/椰丝等配料约120kcal；配料明细未取得。</x:v>
      </x:c>
      <x:c r="N225" s="9" t="str">
        <x:v>核实本地门店是否在售、杯型容量、默认糖度和真实配方；估算份量不是品牌披露。</x:v>
      </x:c>
      <x:c r="O225" s="9" t="str">
        <x:v>2026-10-04</x:v>
      </x:c>
    </x:row>
    <x:row r="226" ht="46" customHeight="1">
      <x:c r="A226" s="7" t="str">
        <x:v>D225</x:v>
      </x:c>
      <x:c r="B226" s="7" t="str">
        <x:v>挪瓦咖啡</x:v>
      </x:c>
      <x:c r="C226" s="7" t="str">
        <x:v>花魁SOE美式</x:v>
      </x:c>
      <x:c r="D226" s="7" t="str">
        <x:v>未注明</x:v>
      </x:c>
      <x:c r="E226" s="7" t="str">
        <x:v>不另外加糖（估算配置）</x:v>
      </x:c>
      <x:c r="F226" s="10" t="n">
        <x:v>10</x:v>
      </x:c>
      <x:c r="G226" s="7" t="str">
        <x:v>5–20</x:v>
      </x:c>
      <x:c r="H226" s="7" t="str">
        <x:v>配料估算</x:v>
      </x:c>
      <x:c r="I226" s="7" t="str">
        <x:v>无</x:v>
      </x:c>
      <x:c r="J226" s="12" t="str">
        <x:v>待核实</x:v>
      </x:c>
      <x:c r="K226" s="12" t="str"/>
      <x:c r="L226" s="7" t="str">
        <x:v>https://www.nowwacafe.com/</x:v>
      </x:c>
      <x:c r="M226" s="7" t="str">
        <x:v>大陆官网确认品名/系列，未提供绝对热量。按无奶无糖浓缩兑水约5-15kcal，官网只说低卡。</x:v>
      </x:c>
      <x:c r="N226" s="7" t="str">
        <x:v>核实本地门店是否在售、杯型容量、默认糖度和真实配方；估算份量不是品牌披露。</x:v>
      </x:c>
      <x:c r="O226" s="7" t="str">
        <x:v>2026-10-04</x:v>
      </x:c>
    </x:row>
    <x:row r="227" ht="46" customHeight="1">
      <x:c r="A227" s="9" t="str">
        <x:v>D226</x:v>
      </x:c>
      <x:c r="B227" s="9" t="str">
        <x:v>挪瓦咖啡</x:v>
      </x:c>
      <x:c r="C227" s="9" t="str">
        <x:v>0脂拿铁</x:v>
      </x:c>
      <x:c r="D227" s="9" t="str">
        <x:v>未注明</x:v>
      </x:c>
      <x:c r="E227" s="9" t="str">
        <x:v>未注明；估算不额外加糖</x:v>
      </x:c>
      <x:c r="F227" s="11" t="n">
        <x:v>110</x:v>
      </x:c>
      <x:c r="G227" s="9" t="str">
        <x:v>70–190</x:v>
      </x:c>
      <x:c r="H227" s="9" t="str">
        <x:v>配料估算</x:v>
      </x:c>
      <x:c r="I227" s="9" t="str">
        <x:v>脱脂乳已计入</x:v>
      </x:c>
      <x:c r="J227" s="12" t="str">
        <x:v>待核实</x:v>
      </x:c>
      <x:c r="K227" s="12" t="str"/>
      <x:c r="L227" s="9" t="str">
        <x:v>https://www.nowwacafe.com/</x:v>
      </x:c>
      <x:c r="M227" s="9" t="str">
        <x:v>大陆官网确认品名/系列，未提供绝对热量。假设脱脂乳300g约100kcal、浓缩约10kcal；0脂不等于0热量。</x:v>
      </x:c>
      <x:c r="N227" s="9" t="str">
        <x:v>核实本地门店是否在售、杯型容量、默认糖度和真实配方；估算份量不是品牌披露。</x:v>
      </x:c>
      <x:c r="O227" s="9" t="str">
        <x:v>2026-10-04</x:v>
      </x:c>
    </x:row>
    <x:row r="228" ht="46" customHeight="1">
      <x:c r="A228" s="7" t="str">
        <x:v>D227</x:v>
      </x:c>
      <x:c r="B228" s="7" t="str">
        <x:v>挪瓦咖啡</x:v>
      </x:c>
      <x:c r="C228" s="7" t="str">
        <x:v>超模半熟芝士拿铁</x:v>
      </x:c>
      <x:c r="D228" s="7" t="str">
        <x:v>未注明</x:v>
      </x:c>
      <x:c r="E228" s="7" t="str">
        <x:v>未注明</x:v>
      </x:c>
      <x:c r="F228" s="10" t="n">
        <x:v>210</x:v>
      </x:c>
      <x:c r="G228" s="7" t="str">
        <x:v>130–300</x:v>
      </x:c>
      <x:c r="H228" s="7" t="str">
        <x:v>配料估算</x:v>
      </x:c>
      <x:c r="I228" s="7" t="str">
        <x:v>低脂芝士乳已计入</x:v>
      </x:c>
      <x:c r="J228" s="12" t="str">
        <x:v>待核实</x:v>
      </x:c>
      <x:c r="K228" s="12" t="str"/>
      <x:c r="L228" s="7" t="str">
        <x:v>https://www.nowwacafe.com/</x:v>
      </x:c>
      <x:c r="M228" s="7" t="str">
        <x:v>大陆官网确认品名/系列，未提供绝对热量。假设低脂芝士乳250g约200kcal、浓缩约10kcal；官网只给相对降热量声明，未披露绝对值。</x:v>
      </x:c>
      <x:c r="N228" s="7" t="str">
        <x:v>核实本地门店是否在售、杯型容量、默认糖度和真实配方；估算份量不是品牌披露。</x:v>
      </x:c>
      <x:c r="O228" s="7" t="str">
        <x:v>2026-10-04</x:v>
      </x:c>
    </x:row>
    <x:row r="229" ht="46" customHeight="1">
      <x:c r="A229" s="9" t="str">
        <x:v>D228</x:v>
      </x:c>
      <x:c r="B229" s="9" t="str">
        <x:v>挪瓦咖啡</x:v>
      </x:c>
      <x:c r="C229" s="9" t="str">
        <x:v>吨吨一桶橙C美式</x:v>
      </x:c>
      <x:c r="D229" s="9" t="str">
        <x:v>未注明</x:v>
      </x:c>
      <x:c r="E229" s="9" t="str">
        <x:v>未注明</x:v>
      </x:c>
      <x:c r="F229" s="11" t="n">
        <x:v>140</x:v>
      </x:c>
      <x:c r="G229" s="9" t="str">
        <x:v>80–260</x:v>
      </x:c>
      <x:c r="H229" s="9" t="str">
        <x:v>配料估算</x:v>
      </x:c>
      <x:c r="I229" s="9" t="str">
        <x:v>橙果/橙汁已计入</x:v>
      </x:c>
      <x:c r="J229" s="12" t="str">
        <x:v>待核实</x:v>
      </x:c>
      <x:c r="K229" s="12" t="str"/>
      <x:c r="L229" s="9" t="str">
        <x:v>https://www.nowwacafe.com/</x:v>
      </x:c>
      <x:c r="M229" s="9" t="str">
        <x:v>大陆官网确认品名/系列，未提供绝对热量。官网称含约一颗赣南脐橙；假设橙汁/橙果约90kcal、调味糖约40kcal、咖啡10kcal。</x:v>
      </x:c>
      <x:c r="N229" s="9" t="str">
        <x:v>核实本地门店是否在售、杯型容量、默认糖度和真实配方；估算份量不是品牌披露。</x:v>
      </x:c>
      <x:c r="O229" s="9" t="str">
        <x:v>2026-10-04</x:v>
      </x:c>
    </x:row>
    <x:row r="230" ht="46" customHeight="1">
      <x:c r="A230" s="7" t="str">
        <x:v>D229</x:v>
      </x:c>
      <x:c r="B230" s="7" t="str">
        <x:v>挪瓦咖啡</x:v>
      </x:c>
      <x:c r="C230" s="7" t="str">
        <x:v>吨吨一桶柚C美式</x:v>
      </x:c>
      <x:c r="D230" s="7" t="str">
        <x:v>未注明</x:v>
      </x:c>
      <x:c r="E230" s="7" t="str">
        <x:v>未注明</x:v>
      </x:c>
      <x:c r="F230" s="10" t="n">
        <x:v>140</x:v>
      </x:c>
      <x:c r="G230" s="7" t="str">
        <x:v>70–260</x:v>
      </x:c>
      <x:c r="H230" s="7" t="str">
        <x:v>配料估算</x:v>
      </x:c>
      <x:c r="I230" s="7" t="str">
        <x:v>柚果/柚汁已计入</x:v>
      </x:c>
      <x:c r="J230" s="12" t="str">
        <x:v>待核实</x:v>
      </x:c>
      <x:c r="K230" s="12" t="str"/>
      <x:c r="L230" s="7" t="str">
        <x:v>https://www.nowwacafe.com/</x:v>
      </x:c>
      <x:c r="M230" s="7" t="str">
        <x:v>大陆官网确认品名/系列，未提供绝对热量。假设柚果/果汁约90kcal、调味约40kcal、咖啡10kcal；0脂/0糖宣传不能证明0kcal。</x:v>
      </x:c>
      <x:c r="N230" s="7" t="str">
        <x:v>核实本地门店是否在售、杯型容量、默认糖度和真实配方；估算份量不是品牌披露。</x:v>
      </x:c>
      <x:c r="O230" s="7" t="str">
        <x:v>2026-10-04</x:v>
      </x:c>
    </x:row>
    <x:row r="231" ht="46" customHeight="1">
      <x:c r="A231" s="9" t="str">
        <x:v>D230</x:v>
      </x:c>
      <x:c r="B231" s="9" t="str">
        <x:v>挪瓦咖啡</x:v>
      </x:c>
      <x:c r="C231" s="9" t="str">
        <x:v>吨吨桶电解质蓝椰水</x:v>
      </x:c>
      <x:c r="D231" s="9" t="str">
        <x:v>未注明</x:v>
      </x:c>
      <x:c r="E231" s="9" t="str">
        <x:v>未注明</x:v>
      </x:c>
      <x:c r="F231" s="11" t="n">
        <x:v>160</x:v>
      </x:c>
      <x:c r="G231" s="9" t="str">
        <x:v>90–280</x:v>
      </x:c>
      <x:c r="H231" s="9" t="str">
        <x:v>配料估算</x:v>
      </x:c>
      <x:c r="I231" s="9" t="str">
        <x:v>椰子水及调味已计入</x:v>
      </x:c>
      <x:c r="J231" s="12" t="str">
        <x:v>待核实</x:v>
      </x:c>
      <x:c r="K231" s="12" t="str"/>
      <x:c r="L231" s="9" t="str">
        <x:v>https://www.nowwacafe.com/</x:v>
      </x:c>
      <x:c r="M231" s="9" t="str">
        <x:v>大陆官网确认品名/系列，未提供绝对热量。假设椰子水500ml约100kcal、调味糖约60kcal；颜料和电解质本身不是主要能量。</x:v>
      </x:c>
      <x:c r="N231" s="9" t="str">
        <x:v>核实本地门店是否在售、杯型容量、默认糖度和真实配方；估算份量不是品牌披露。</x:v>
      </x:c>
      <x:c r="O231" s="9" t="str">
        <x:v>2026-10-04</x:v>
      </x:c>
    </x:row>
    <x:row r="232" ht="46" customHeight="1">
      <x:c r="A232" s="7" t="str">
        <x:v>D231</x:v>
      </x:c>
      <x:c r="B232" s="7" t="str">
        <x:v>挪瓦咖啡</x:v>
      </x:c>
      <x:c r="C232" s="7" t="str">
        <x:v>吨吨桶羽衣甘蓝轻咖</x:v>
      </x:c>
      <x:c r="D232" s="7" t="str">
        <x:v>未注明</x:v>
      </x:c>
      <x:c r="E232" s="7" t="str">
        <x:v>未注明</x:v>
      </x:c>
      <x:c r="F232" s="10" t="n">
        <x:v>150</x:v>
      </x:c>
      <x:c r="G232" s="7" t="str">
        <x:v>70–280</x:v>
      </x:c>
      <x:c r="H232" s="7" t="str">
        <x:v>配料估算</x:v>
      </x:c>
      <x:c r="I232" s="7" t="str">
        <x:v>果蔬基底已计入</x:v>
      </x:c>
      <x:c r="J232" s="12" t="str">
        <x:v>待核实</x:v>
      </x:c>
      <x:c r="K232" s="12" t="str"/>
      <x:c r="L232" s="7" t="str">
        <x:v>https://www.nowwacafe.com/</x:v>
      </x:c>
      <x:c r="M232" s="7" t="str">
        <x:v>大陆官网确认品名/系列，未提供绝对热量。假设果蔬汁/果肉约100kcal、调味糖约40kcal、生豆咖啡液约10kcal。</x:v>
      </x:c>
      <x:c r="N232" s="7" t="str">
        <x:v>核实本地门店是否在售、杯型容量、默认糖度和真实配方；估算份量不是品牌披露。</x:v>
      </x:c>
      <x:c r="O232" s="7" t="str">
        <x:v>2026-10-04</x:v>
      </x:c>
    </x:row>
    <x:row r="233" ht="46" customHeight="1">
      <x:c r="A233" s="9" t="str">
        <x:v>D232</x:v>
      </x:c>
      <x:c r="B233" s="9" t="str">
        <x:v>挪瓦咖啡</x:v>
      </x:c>
      <x:c r="C233" s="9" t="str">
        <x:v>生椰拿铁</x:v>
      </x:c>
      <x:c r="D233" s="9" t="str">
        <x:v>标准杯至吨吨桶450-750ml</x:v>
      </x:c>
      <x:c r="E233" s="9" t="str">
        <x:v>不另外加糖（菜单推荐）</x:v>
      </x:c>
      <x:c r="F233" s="11" t="n">
        <x:v>184</x:v>
      </x:c>
      <x:c r="G233" s="9" t="str">
        <x:v>184–307</x:v>
      </x:c>
      <x:c r="H233" s="9" t="str">
        <x:v>第三方参考</x:v>
      </x:c>
      <x:c r="I233" s="9" t="str">
        <x:v>椰乳已计入</x:v>
      </x:c>
      <x:c r="J233" s="12" t="str">
        <x:v>待核实</x:v>
      </x:c>
      <x:c r="K233" s="12" t="str"/>
      <x:c r="L233" s="9" t="str">
        <x:v>https://www.nckfhsm.com/products/sheng-ye-na-tie-28490</x:v>
      </x:c>
      <x:c r="M233" s="9" t="str">
        <x:v>第三方页面列450-750ml、184-307kcal；184取标准杯端点为候选，端点与容量映射仍需核实。</x:v>
      </x:c>
      <x:c r="N233" s="9" t="str">
        <x:v>核实标准杯是否450ml/184kcal，吨吨桶是否750ml/307kcal；不要和新0脂椰乳配方混用。</x:v>
      </x:c>
      <x:c r="O233" s="9" t="str">
        <x:v>2026-10-04</x:v>
      </x:c>
    </x:row>
    <x:row r="234" ht="46" customHeight="1">
      <x:c r="A234" s="7" t="str">
        <x:v>D233</x:v>
      </x:c>
      <x:c r="B234" s="7" t="str">
        <x:v>Manner Coffee</x:v>
      </x:c>
      <x:c r="C234" s="7" t="str">
        <x:v>美式咖啡 Americano</x:v>
      </x:c>
      <x:c r="D234" s="7" t="str">
        <x:v>237-355ml（菜单范围）</x:v>
      </x:c>
      <x:c r="E234" s="7" t="str">
        <x:v>不另外加糖（估算配置）</x:v>
      </x:c>
      <x:c r="F234" s="10" t="n">
        <x:v>10</x:v>
      </x:c>
      <x:c r="G234" s="7" t="str">
        <x:v>5–20</x:v>
      </x:c>
      <x:c r="H234" s="7" t="str">
        <x:v>配料估算</x:v>
      </x:c>
      <x:c r="I234" s="7" t="str">
        <x:v>无</x:v>
      </x:c>
      <x:c r="J234" s="12" t="str">
        <x:v>待核实</x:v>
      </x:c>
      <x:c r="K234" s="12" t="str"/>
      <x:c r="L234" s="7" t="str">
        <x:v>https://www.nckfhsm.com/brands/manner-coffee/menu/available</x:v>
      </x:c>
      <x:c r="M234" s="7" t="str">
        <x:v>第三方大陆菜单确认名称/杯型，无可信整杯热量；无奶无糖浓缩兑水约5-15kcal；菜单0kcal只可视近零。</x:v>
      </x:c>
      <x:c r="N234" s="7" t="str">
        <x:v>核实本地门店是否在售、杯型容量、默认糖度和真实配方；估算份量不是品牌披露。</x:v>
      </x:c>
      <x:c r="O234" s="7" t="str">
        <x:v>2026-10-04</x:v>
      </x:c>
    </x:row>
    <x:row r="235" ht="46" customHeight="1">
      <x:c r="A235" s="9" t="str">
        <x:v>D234</x:v>
      </x:c>
      <x:c r="B235" s="9" t="str">
        <x:v>Manner Coffee</x:v>
      </x:c>
      <x:c r="C235" s="9" t="str">
        <x:v>拿铁咖啡 Latte</x:v>
      </x:c>
      <x:c r="D235" s="9" t="str">
        <x:v>237-355ml（菜单范围）</x:v>
      </x:c>
      <x:c r="E235" s="9" t="str">
        <x:v>不另外加糖（估算配置）</x:v>
      </x:c>
      <x:c r="F235" s="11" t="n">
        <x:v>160</x:v>
      </x:c>
      <x:c r="G235" s="9" t="str">
        <x:v>100–230</x:v>
      </x:c>
      <x:c r="H235" s="9" t="str">
        <x:v>配料估算</x:v>
      </x:c>
      <x:c r="I235" s="9" t="str">
        <x:v>牛奶已计入</x:v>
      </x:c>
      <x:c r="J235" s="12" t="str">
        <x:v>待核实</x:v>
      </x:c>
      <x:c r="K235" s="12" t="str"/>
      <x:c r="L235" s="9" t="str">
        <x:v>https://www.nckfhsm.com/brands/manner-coffee/menu/available</x:v>
      </x:c>
      <x:c r="M235" s="9" t="str">
        <x:v>第三方大陆菜单确认名称/杯型，无可信整杯热量；假设牛奶250g153kcal、浓缩约7kcal。</x:v>
      </x:c>
      <x:c r="N235" s="9" t="str">
        <x:v>核实本地门店是否在售、杯型容量、默认糖度和真实配方；估算份量不是品牌披露。</x:v>
      </x:c>
      <x:c r="O235" s="9" t="str">
        <x:v>2026-10-04</x:v>
      </x:c>
    </x:row>
    <x:row r="236" ht="46" customHeight="1">
      <x:c r="A236" s="7" t="str">
        <x:v>D235</x:v>
      </x:c>
      <x:c r="B236" s="7" t="str">
        <x:v>Manner Coffee</x:v>
      </x:c>
      <x:c r="C236" s="7" t="str">
        <x:v>澳式白咖啡 Flat White</x:v>
      </x:c>
      <x:c r="D236" s="7" t="str">
        <x:v>237-355ml（菜单范围）</x:v>
      </x:c>
      <x:c r="E236" s="7" t="str">
        <x:v>不另外加糖（估算配置）</x:v>
      </x:c>
      <x:c r="F236" s="10" t="n">
        <x:v>130</x:v>
      </x:c>
      <x:c r="G236" s="7" t="str">
        <x:v>80–200</x:v>
      </x:c>
      <x:c r="H236" s="7" t="str">
        <x:v>配料估算</x:v>
      </x:c>
      <x:c r="I236" s="7" t="str">
        <x:v>牛奶已计入</x:v>
      </x:c>
      <x:c r="J236" s="12" t="str">
        <x:v>待核实</x:v>
      </x:c>
      <x:c r="K236" s="12" t="str"/>
      <x:c r="L236" s="7" t="str">
        <x:v>https://www.nckfhsm.com/brands/manner-coffee/menu/available</x:v>
      </x:c>
      <x:c r="M236" s="7" t="str">
        <x:v>第三方大陆菜单确认名称/杯型，无可信整杯热量；假设牛奶200g122kcal、浓缩约8kcal。</x:v>
      </x:c>
      <x:c r="N236" s="7" t="str">
        <x:v>核实本地门店是否在售、杯型容量、默认糖度和真实配方；估算份量不是品牌披露。</x:v>
      </x:c>
      <x:c r="O236" s="7" t="str">
        <x:v>2026-10-04</x:v>
      </x:c>
    </x:row>
    <x:row r="237" ht="46" customHeight="1">
      <x:c r="A237" s="9" t="str">
        <x:v>D236</x:v>
      </x:c>
      <x:c r="B237" s="9" t="str">
        <x:v>Manner Coffee</x:v>
      </x:c>
      <x:c r="C237" s="9" t="str">
        <x:v>燕麦拿铁</x:v>
      </x:c>
      <x:c r="D237" s="9" t="str">
        <x:v>237-355ml（菜单范围）</x:v>
      </x:c>
      <x:c r="E237" s="9" t="str">
        <x:v>不另外加糖（估算配置）</x:v>
      </x:c>
      <x:c r="F237" s="11" t="n">
        <x:v>160</x:v>
      </x:c>
      <x:c r="G237" s="9" t="str">
        <x:v>100–240</x:v>
      </x:c>
      <x:c r="H237" s="9" t="str">
        <x:v>配料估算</x:v>
      </x:c>
      <x:c r="I237" s="9" t="str">
        <x:v>燕麦奶已计入</x:v>
      </x:c>
      <x:c r="J237" s="12" t="str">
        <x:v>待核实</x:v>
      </x:c>
      <x:c r="K237" s="12" t="str"/>
      <x:c r="L237" s="9" t="str">
        <x:v>https://www.nckfhsm.com/brands/manner-coffee/menu/available</x:v>
      </x:c>
      <x:c r="M237" s="9" t="str">
        <x:v>第三方大陆菜单确认名称/杯型，无可信整杯热量；假设燕麦奶250ml按58kcal/100ml约145kcal、浓缩约10kcal；奶牌和容量未确认。</x:v>
      </x:c>
      <x:c r="N237" s="9" t="str">
        <x:v>核实本地门店是否在售、杯型容量、默认糖度和真实配方；估算份量不是品牌披露。</x:v>
      </x:c>
      <x:c r="O237" s="9" t="str">
        <x:v>2026-10-04</x:v>
      </x:c>
    </x:row>
    <x:row r="238" ht="46" customHeight="1">
      <x:c r="A238" s="7" t="str">
        <x:v>D237</x:v>
      </x:c>
      <x:c r="B238" s="7" t="str">
        <x:v>Manner Coffee</x:v>
      </x:c>
      <x:c r="C238" s="7" t="str">
        <x:v>拿铁 埃塞古吉罕贝拉G1日晒</x:v>
      </x:c>
      <x:c r="D238" s="7" t="str">
        <x:v>237-355ml（菜单范围）</x:v>
      </x:c>
      <x:c r="E238" s="7" t="str">
        <x:v>不另外加糖（估算配置）</x:v>
      </x:c>
      <x:c r="F238" s="10" t="n">
        <x:v>160</x:v>
      </x:c>
      <x:c r="G238" s="7" t="str">
        <x:v>100–230</x:v>
      </x:c>
      <x:c r="H238" s="7" t="str">
        <x:v>配料估算</x:v>
      </x:c>
      <x:c r="I238" s="7" t="str">
        <x:v>牛奶已计入</x:v>
      </x:c>
      <x:c r="J238" s="12" t="str">
        <x:v>待核实</x:v>
      </x:c>
      <x:c r="K238" s="12" t="str"/>
      <x:c r="L238" s="7" t="str">
        <x:v>https://www.nckfhsm.com/brands/manner-coffee/menu/available</x:v>
      </x:c>
      <x:c r="M238" s="7" t="str">
        <x:v>第三方大陆菜单确认名称/杯型，无可信整杯热量；假设牛奶250g153kcal、浓缩约7kcal；换豆不应造成大热量差异。</x:v>
      </x:c>
      <x:c r="N238" s="7" t="str">
        <x:v>核实本地门店是否在售、杯型容量、默认糖度和真实配方；估算份量不是品牌披露。</x:v>
      </x:c>
      <x:c r="O238" s="7" t="str">
        <x:v>2026-10-04</x:v>
      </x:c>
    </x:row>
    <x:row r="239" ht="46" customHeight="1">
      <x:c r="A239" s="9" t="str">
        <x:v>D238</x:v>
      </x:c>
      <x:c r="B239" s="9" t="str">
        <x:v>Manner Coffee</x:v>
      </x:c>
      <x:c r="C239" s="9" t="str">
        <x:v>美式 埃塞古吉罕贝拉G1日晒</x:v>
      </x:c>
      <x:c r="D239" s="9" t="str">
        <x:v>355ml（菜单）</x:v>
      </x:c>
      <x:c r="E239" s="9" t="str">
        <x:v>不另外加糖（估算配置）</x:v>
      </x:c>
      <x:c r="F239" s="11" t="n">
        <x:v>10</x:v>
      </x:c>
      <x:c r="G239" s="9" t="str">
        <x:v>5–20</x:v>
      </x:c>
      <x:c r="H239" s="9" t="str">
        <x:v>配料估算</x:v>
      </x:c>
      <x:c r="I239" s="9" t="str">
        <x:v>无</x:v>
      </x:c>
      <x:c r="J239" s="12" t="str">
        <x:v>待核实</x:v>
      </x:c>
      <x:c r="K239" s="12" t="str"/>
      <x:c r="L239" s="9" t="str">
        <x:v>https://www.nckfhsm.com/brands/manner-coffee/menu/available</x:v>
      </x:c>
      <x:c r="M239" s="9" t="str">
        <x:v>第三方大陆菜单确认名称/杯型，无可信整杯热量；无奶无糖SOE浓缩兑水约5-15kcal。</x:v>
      </x:c>
      <x:c r="N239" s="9" t="str">
        <x:v>核实本地门店是否在售、杯型容量、默认糖度和真实配方；估算份量不是品牌披露。</x:v>
      </x:c>
      <x:c r="O239" s="9" t="str">
        <x:v>2026-10-04</x:v>
      </x:c>
    </x:row>
    <x:row r="240" ht="46" customHeight="1">
      <x:c r="A240" s="7" t="str">
        <x:v>D239</x:v>
      </x:c>
      <x:c r="B240" s="7" t="str">
        <x:v>Manner Coffee</x:v>
      </x:c>
      <x:c r="C240" s="7" t="str">
        <x:v>埃塞古吉罕贝拉G1日晒Dirty</x:v>
      </x:c>
      <x:c r="D240" s="7" t="str">
        <x:v>237ml（菜单）</x:v>
      </x:c>
      <x:c r="E240" s="7" t="str">
        <x:v>未注明</x:v>
      </x:c>
      <x:c r="F240" s="10" t="n">
        <x:v>140</x:v>
      </x:c>
      <x:c r="G240" s="7" t="str">
        <x:v>90–220</x:v>
      </x:c>
      <x:c r="H240" s="7" t="str">
        <x:v>配料估算</x:v>
      </x:c>
      <x:c r="I240" s="7" t="str">
        <x:v>乳基底已计入</x:v>
      </x:c>
      <x:c r="J240" s="12" t="str">
        <x:v>待核实</x:v>
      </x:c>
      <x:c r="K240" s="12" t="str"/>
      <x:c r="L240" s="7" t="str">
        <x:v>https://www.nckfhsm.com/brands/manner-coffee/menu/available</x:v>
      </x:c>
      <x:c r="M240" s="7" t="str">
        <x:v>第三方大陆菜单确认名称/杯型，无可信整杯热量；假设乳基底200g约130kcal、浓缩约10kcal；可能特殊奶基底，份量未知。</x:v>
      </x:c>
      <x:c r="N240" s="7" t="str">
        <x:v>核实本地门店是否在售、杯型容量、默认糖度和真实配方；估算份量不是品牌披露。</x:v>
      </x:c>
      <x:c r="O240" s="7" t="str">
        <x:v>2026-10-04</x:v>
      </x:c>
    </x:row>
    <x:row r="241" ht="63" customHeight="1">
      <x:c r="A241" s="9" t="str">
        <x:v>D240</x:v>
      </x:c>
      <x:c r="B241" s="9" t="str">
        <x:v>Manner Coffee</x:v>
      </x:c>
      <x:c r="C241" s="9" t="str">
        <x:v>柚子冰美式</x:v>
      </x:c>
      <x:c r="D241" s="9" t="str">
        <x:v>355-473ml（菜单范围）</x:v>
      </x:c>
      <x:c r="E241" s="9" t="str">
        <x:v>未注明</x:v>
      </x:c>
      <x:c r="F241" s="11" t="n">
        <x:v>150</x:v>
      </x:c>
      <x:c r="G241" s="9" t="str">
        <x:v>80–260</x:v>
      </x:c>
      <x:c r="H241" s="9" t="str">
        <x:v>配料估算</x:v>
      </x:c>
      <x:c r="I241" s="9" t="str">
        <x:v>柚子基底已计入</x:v>
      </x:c>
      <x:c r="J241" s="12" t="str">
        <x:v>待核实</x:v>
      </x:c>
      <x:c r="K241" s="12" t="str"/>
      <x:c r="L241" s="9" t="str">
        <x:v>https://www.nckfhsm.com/brands/manner-coffee/menu/available?page=2</x:v>
      </x:c>
      <x:c r="M241" s="9" t="str">
        <x:v>第三方大陆菜单确认名称/杯型，未给热量；假设柚子/果汁约80kcal、调味糖15g60kcal、咖啡10kcal。</x:v>
      </x:c>
      <x:c r="N241" s="9" t="str">
        <x:v>核实本地门店是否在售、杯型容量、默认糖度和真实配方；估算份量不是品牌披露。</x:v>
      </x:c>
      <x:c r="O241" s="9" t="str">
        <x:v>2026-10-04</x:v>
      </x:c>
    </x:row>
    <x:row r="242" ht="46" customHeight="1">
      <x:c r="A242" s="7" t="str">
        <x:v>D241</x:v>
      </x:c>
      <x:c r="B242" s="7" t="str">
        <x:v>麦咖啡 McCafé</x:v>
      </x:c>
      <x:c r="C242" s="7" t="str">
        <x:v>冰奶铁</x:v>
      </x:c>
      <x:c r="D242" s="7" t="str">
        <x:v>中杯；容量未注明</x:v>
      </x:c>
      <x:c r="E242" s="7" t="str">
        <x:v>未注明</x:v>
      </x:c>
      <x:c r="F242" s="10" t="n">
        <x:v>148</x:v>
      </x:c>
      <x:c r="G242" s="7" t="str">
        <x:v>148–148</x:v>
      </x:c>
      <x:c r="H242" s="7" t="str">
        <x:v>官方参考</x:v>
      </x:c>
      <x:c r="I242" s="7" t="str">
        <x:v>无额外小料；乳基底已计入</x:v>
      </x:c>
      <x:c r="J242" s="12" t="str">
        <x:v>待核实</x:v>
      </x:c>
      <x:c r="K242" s="12" t="str"/>
      <x:c r="L242" s="7" t="str">
        <x:v>https://www.mcdonalds.com.cn/product/Iced-Nai-Tie</x:v>
      </x:c>
      <x:c r="M242" s="7" t="str">
        <x:v>大陆官网中杯能量618 kJ÷4.184；官网标注营养数据更新2025年4月。</x:v>
      </x:c>
      <x:c r="N242" s="7" t="str">
        <x:v>核对现配方与中杯规格；范围仅为官网该规格单值，不代表所有杯型。</x:v>
      </x:c>
      <x:c r="O242" s="7" t="str">
        <x:v>2026-10-04</x:v>
      </x:c>
    </x:row>
    <x:row r="243" ht="46" customHeight="1">
      <x:c r="A243" s="9" t="str">
        <x:v>D242</x:v>
      </x:c>
      <x:c r="B243" s="9" t="str">
        <x:v>麦咖啡 McCafé</x:v>
      </x:c>
      <x:c r="C243" s="9" t="str">
        <x:v>热奶铁</x:v>
      </x:c>
      <x:c r="D243" s="9" t="str">
        <x:v>中杯；容量未注明</x:v>
      </x:c>
      <x:c r="E243" s="9" t="str">
        <x:v>未注明</x:v>
      </x:c>
      <x:c r="F243" s="11" t="n">
        <x:v>186</x:v>
      </x:c>
      <x:c r="G243" s="9" t="str">
        <x:v>186–186</x:v>
      </x:c>
      <x:c r="H243" s="9" t="str">
        <x:v>官方参考</x:v>
      </x:c>
      <x:c r="I243" s="9" t="str">
        <x:v>无额外小料；乳基底已计入</x:v>
      </x:c>
      <x:c r="J243" s="12" t="str">
        <x:v>待核实</x:v>
      </x:c>
      <x:c r="K243" s="12" t="str"/>
      <x:c r="L243" s="9" t="str">
        <x:v>https://www.mcdonalds.com.cn/product/Hot-Nai-Tie</x:v>
      </x:c>
      <x:c r="M243" s="9" t="str">
        <x:v>大陆官网中杯能量779 kJ÷4.184；官网标注营养数据更新2025年4月。</x:v>
      </x:c>
      <x:c r="N243" s="9" t="str">
        <x:v>核对现配方与中杯规格；范围仅为官网该规格单值，不代表所有杯型。</x:v>
      </x:c>
      <x:c r="O243" s="9" t="str">
        <x:v>2026-10-04</x:v>
      </x:c>
    </x:row>
    <x:row r="244" ht="46" customHeight="1">
      <x:c r="A244" s="7" t="str">
        <x:v>D243</x:v>
      </x:c>
      <x:c r="B244" s="7" t="str">
        <x:v>麦咖啡 McCafé</x:v>
      </x:c>
      <x:c r="C244" s="7" t="str">
        <x:v>冰燕麦奶铁</x:v>
      </x:c>
      <x:c r="D244" s="7" t="str">
        <x:v>中杯；容量未注明</x:v>
      </x:c>
      <x:c r="E244" s="7" t="str">
        <x:v>未注明</x:v>
      </x:c>
      <x:c r="F244" s="10" t="n">
        <x:v>132</x:v>
      </x:c>
      <x:c r="G244" s="7" t="str">
        <x:v>132–132</x:v>
      </x:c>
      <x:c r="H244" s="7" t="str">
        <x:v>官方参考</x:v>
      </x:c>
      <x:c r="I244" s="7" t="str">
        <x:v>燕麦奶基底</x:v>
      </x:c>
      <x:c r="J244" s="12" t="str">
        <x:v>待核实</x:v>
      </x:c>
      <x:c r="K244" s="12" t="str"/>
      <x:c r="L244" s="7" t="str">
        <x:v>https://www.mcdonalds.com.cn/product/Iced-Oatly-Nai-Tie</x:v>
      </x:c>
      <x:c r="M244" s="7" t="str">
        <x:v>大陆官网中杯能量554 kJ÷4.184；官网标注营养数据更新2025年4月。</x:v>
      </x:c>
      <x:c r="N244" s="7" t="str">
        <x:v>核对现配方与中杯规格；范围仅为官网该规格单值，不代表所有杯型。</x:v>
      </x:c>
      <x:c r="O244" s="7" t="str">
        <x:v>2026-10-04</x:v>
      </x:c>
    </x:row>
    <x:row r="245" ht="46" customHeight="1">
      <x:c r="A245" s="9" t="str">
        <x:v>D244</x:v>
      </x:c>
      <x:c r="B245" s="9" t="str">
        <x:v>麦咖啡 McCafé</x:v>
      </x:c>
      <x:c r="C245" s="9" t="str">
        <x:v>冰美式</x:v>
      </x:c>
      <x:c r="D245" s="9" t="str">
        <x:v>中杯；容量未注明</x:v>
      </x:c>
      <x:c r="E245" s="9" t="str">
        <x:v>未注明</x:v>
      </x:c>
      <x:c r="F245" s="11" t="n">
        <x:v>13</x:v>
      </x:c>
      <x:c r="G245" s="9" t="str">
        <x:v>13–13</x:v>
      </x:c>
      <x:c r="H245" s="9" t="str">
        <x:v>官方参考</x:v>
      </x:c>
      <x:c r="I245" s="9" t="str">
        <x:v>无额外小料；乳基底已计入</x:v>
      </x:c>
      <x:c r="J245" s="12" t="str">
        <x:v>待核实</x:v>
      </x:c>
      <x:c r="K245" s="12" t="str"/>
      <x:c r="L245" s="9" t="str">
        <x:v>https://www.mcdonalds.com.cn/product/Iced-Americano</x:v>
      </x:c>
      <x:c r="M245" s="9" t="str">
        <x:v>大陆官网中杯能量54 kJ÷4.184；官网标注营养数据更新2025年4月。</x:v>
      </x:c>
      <x:c r="N245" s="9" t="str">
        <x:v>核对现配方与中杯规格；范围仅为官网该规格单值，不代表所有杯型。</x:v>
      </x:c>
      <x:c r="O245" s="9" t="str">
        <x:v>2026-10-04</x:v>
      </x:c>
    </x:row>
    <x:row r="246" ht="46" customHeight="1">
      <x:c r="A246" s="7" t="str">
        <x:v>D245</x:v>
      </x:c>
      <x:c r="B246" s="7" t="str">
        <x:v>麦咖啡 McCafé</x:v>
      </x:c>
      <x:c r="C246" s="7" t="str">
        <x:v>卡布奇诺</x:v>
      </x:c>
      <x:c r="D246" s="7" t="str">
        <x:v>中杯；容量未注明</x:v>
      </x:c>
      <x:c r="E246" s="7" t="str">
        <x:v>未注明</x:v>
      </x:c>
      <x:c r="F246" s="10" t="n">
        <x:v>167</x:v>
      </x:c>
      <x:c r="G246" s="7" t="str">
        <x:v>167–167</x:v>
      </x:c>
      <x:c r="H246" s="7" t="str">
        <x:v>官方参考</x:v>
      </x:c>
      <x:c r="I246" s="7" t="str">
        <x:v>无额外小料；乳基底已计入</x:v>
      </x:c>
      <x:c r="J246" s="12" t="str">
        <x:v>待核实</x:v>
      </x:c>
      <x:c r="K246" s="12" t="str"/>
      <x:c r="L246" s="7" t="str">
        <x:v>https://www.mcdonalds.com.cn/product/Cappuccino</x:v>
      </x:c>
      <x:c r="M246" s="7" t="str">
        <x:v>大陆官网中杯能量698 kJ÷4.184；官网标注营养数据更新2025年4月。</x:v>
      </x:c>
      <x:c r="N246" s="7" t="str">
        <x:v>核对现配方与中杯规格；范围仅为官网该规格单值，不代表所有杯型。</x:v>
      </x:c>
      <x:c r="O246" s="7" t="str">
        <x:v>2026-10-04</x:v>
      </x:c>
    </x:row>
    <x:row r="247" ht="46" customHeight="1">
      <x:c r="A247" s="9" t="str">
        <x:v>D246</x:v>
      </x:c>
      <x:c r="B247" s="9" t="str">
        <x:v>麦咖啡 McCafé</x:v>
      </x:c>
      <x:c r="C247" s="9" t="str">
        <x:v>冰焦糖玛奇朵</x:v>
      </x:c>
      <x:c r="D247" s="9" t="str">
        <x:v>中杯；容量未注明</x:v>
      </x:c>
      <x:c r="E247" s="9" t="str">
        <x:v>未注明</x:v>
      </x:c>
      <x:c r="F247" s="11" t="n">
        <x:v>148</x:v>
      </x:c>
      <x:c r="G247" s="9" t="str">
        <x:v>148–148</x:v>
      </x:c>
      <x:c r="H247" s="9" t="str">
        <x:v>官方参考</x:v>
      </x:c>
      <x:c r="I247" s="9" t="str">
        <x:v>焦糖糖浆</x:v>
      </x:c>
      <x:c r="J247" s="12" t="str">
        <x:v>待核实</x:v>
      </x:c>
      <x:c r="K247" s="12" t="str"/>
      <x:c r="L247" s="9" t="str">
        <x:v>https://www.mcdonalds.com.cn/product/Iced-Caramel-Macchiato-2</x:v>
      </x:c>
      <x:c r="M247" s="9" t="str">
        <x:v>大陆官网中杯能量618 kJ÷4.184；官网标注营养数据更新2025年4月。</x:v>
      </x:c>
      <x:c r="N247" s="9" t="str">
        <x:v>核对现配方；焦糖玛奇朵官网列值与冰奶铁相同，疑似页面数据问题，优先人工确认。</x:v>
      </x:c>
      <x:c r="O247" s="9" t="str">
        <x:v>2026-10-04</x:v>
      </x:c>
    </x:row>
    <x:row r="248" ht="46" customHeight="1">
      <x:c r="A248" s="7" t="str">
        <x:v>D247</x:v>
      </x:c>
      <x:c r="B248" s="7" t="str">
        <x:v>麦咖啡 McCafé</x:v>
      </x:c>
      <x:c r="C248" s="7" t="str">
        <x:v>冰浓浓抹茶牛奶</x:v>
      </x:c>
      <x:c r="D248" s="7" t="str">
        <x:v>中杯；容量未注明</x:v>
      </x:c>
      <x:c r="E248" s="7" t="str">
        <x:v>未注明</x:v>
      </x:c>
      <x:c r="F248" s="10" t="n">
        <x:v>196</x:v>
      </x:c>
      <x:c r="G248" s="7" t="str">
        <x:v>196–196</x:v>
      </x:c>
      <x:c r="H248" s="7" t="str">
        <x:v>官方参考</x:v>
      </x:c>
      <x:c r="I248" s="7" t="str">
        <x:v>抹茶配料；不含咖啡</x:v>
      </x:c>
      <x:c r="J248" s="12" t="str">
        <x:v>待核实</x:v>
      </x:c>
      <x:c r="K248" s="12" t="str"/>
      <x:c r="L248" s="7" t="str">
        <x:v>https://www.mcdonalds.com.cn/product/Iced-Matcha-Milk</x:v>
      </x:c>
      <x:c r="M248" s="7" t="str">
        <x:v>大陆官网中杯能量821 kJ÷4.184；官网标注营养数据更新2025年4月。</x:v>
      </x:c>
      <x:c r="N248" s="7" t="str">
        <x:v>核对现配方与中杯规格；范围仅为官网该规格单值，不代表所有杯型。</x:v>
      </x:c>
      <x:c r="O248" s="7" t="str">
        <x:v>2026-10-04</x:v>
      </x:c>
    </x:row>
    <x:row r="249" ht="46" customHeight="1">
      <x:c r="A249" s="9" t="str">
        <x:v>D248</x:v>
      </x:c>
      <x:c r="B249" s="9" t="str">
        <x:v>麦咖啡 McCafé</x:v>
      </x:c>
      <x:c r="C249" s="9" t="str">
        <x:v>冰浓浓黑巧</x:v>
      </x:c>
      <x:c r="D249" s="9" t="str">
        <x:v>中杯；容量未注明</x:v>
      </x:c>
      <x:c r="E249" s="9" t="str">
        <x:v>未注明</x:v>
      </x:c>
      <x:c r="F249" s="11" t="n">
        <x:v>135</x:v>
      </x:c>
      <x:c r="G249" s="9" t="str">
        <x:v>135–135</x:v>
      </x:c>
      <x:c r="H249" s="9" t="str">
        <x:v>官方参考</x:v>
      </x:c>
      <x:c r="I249" s="9" t="str">
        <x:v>可可配料</x:v>
      </x:c>
      <x:c r="J249" s="12" t="str">
        <x:v>待核实</x:v>
      </x:c>
      <x:c r="K249" s="12" t="str"/>
      <x:c r="L249" s="9" t="str">
        <x:v>https://www.mcdonalds.com.cn/product/iced-Dark-Chocolate</x:v>
      </x:c>
      <x:c r="M249" s="9" t="str">
        <x:v>大陆官网中杯能量563 kJ÷4.184；官网标注营养数据更新2025年4月。</x:v>
      </x:c>
      <x:c r="N249" s="9" t="str">
        <x:v>核对现配方与中杯规格；范围仅为官网该规格单值，不代表所有杯型。</x:v>
      </x:c>
      <x:c r="O249" s="9" t="str">
        <x:v>2026-10-04</x:v>
      </x:c>
    </x:row>
    <x:row r="250" ht="46" customHeight="1">
      <x:c r="A250" s="7" t="str">
        <x:v>D249</x:v>
      </x:c>
      <x:c r="B250" s="7" t="str">
        <x:v>肯悦咖啡 KCOFFEE</x:v>
      </x:c>
      <x:c r="C250" s="7" t="str">
        <x:v>浓萃美式</x:v>
      </x:c>
      <x:c r="D250" s="7" t="str">
        <x:v>未注明</x:v>
      </x:c>
      <x:c r="E250" s="7" t="str">
        <x:v>未注明</x:v>
      </x:c>
      <x:c r="F250" s="10" t="n">
        <x:v>0</x:v>
      </x:c>
      <x:c r="G250" s="7" t="str">
        <x:v>0–15</x:v>
      </x:c>
      <x:c r="H250" s="7" t="str">
        <x:v>第三方参考</x:v>
      </x:c>
      <x:c r="I250" s="7" t="str">
        <x:v>无额外小料；乳基底已计入</x:v>
      </x:c>
      <x:c r="J250" s="12" t="str">
        <x:v>待核实</x:v>
      </x:c>
      <x:c r="K250" s="12" t="str"/>
      <x:c r="L250" s="7" t="str">
        <x:v>https://www.nckfhsm.com/brands/ken-de-ji/menu/available</x:v>
      </x:c>
      <x:c r="M250" s="7" t="str">
        <x:v>第三方菜单列0 kcal；不加奶糖黑咖啡常有少量能量。</x:v>
      </x:c>
      <x:c r="N250" s="7" t="str">
        <x:v>待核实当前在售、杯型、糖度和热量；估算份量不是品牌配方。</x:v>
      </x:c>
      <x:c r="O250" s="7" t="str">
        <x:v>2026-10-04</x:v>
      </x:c>
    </x:row>
    <x:row r="251" ht="46" customHeight="1">
      <x:c r="A251" s="9" t="str">
        <x:v>D250</x:v>
      </x:c>
      <x:c r="B251" s="9" t="str">
        <x:v>肯悦咖啡 KCOFFEE</x:v>
      </x:c>
      <x:c r="C251" s="9" t="str">
        <x:v>爆汁三柠气泡美式</x:v>
      </x:c>
      <x:c r="D251" s="9" t="str">
        <x:v>未注明</x:v>
      </x:c>
      <x:c r="E251" s="9" t="str">
        <x:v>未注明</x:v>
      </x:c>
      <x:c r="F251" s="11" t="n">
        <x:v>30</x:v>
      </x:c>
      <x:c r="G251" s="9" t="str">
        <x:v>20–120</x:v>
      </x:c>
      <x:c r="H251" s="9" t="str">
        <x:v>第三方参考</x:v>
      </x:c>
      <x:c r="I251" s="9" t="str">
        <x:v>柠檬特调</x:v>
      </x:c>
      <x:c r="J251" s="12" t="str">
        <x:v>待核实</x:v>
      </x:c>
      <x:c r="K251" s="12" t="str"/>
      <x:c r="L251" s="9" t="str">
        <x:v>https://www.nckfhsm.com/brands/ken-de-ji/menu/available</x:v>
      </x:c>
      <x:c r="M251" s="9" t="str">
        <x:v>第三方菜单列30 kcal，糖度及杯型未注明；范围为草稿核实容差。</x:v>
      </x:c>
      <x:c r="N251" s="9" t="str">
        <x:v>待核实当前在售、杯型、糖度和热量；估算份量不是品牌配方。</x:v>
      </x:c>
      <x:c r="O251" s="9" t="str">
        <x:v>2026-10-04</x:v>
      </x:c>
    </x:row>
    <x:row r="252" ht="46" customHeight="1">
      <x:c r="A252" s="7" t="str">
        <x:v>D251</x:v>
      </x:c>
      <x:c r="B252" s="7" t="str">
        <x:v>肯悦咖啡 KCOFFEE</x:v>
      </x:c>
      <x:c r="C252" s="7" t="str">
        <x:v>满杯生椰拿铁</x:v>
      </x:c>
      <x:c r="D252" s="7" t="str">
        <x:v>未注明</x:v>
      </x:c>
      <x:c r="E252" s="7" t="str">
        <x:v>未注明</x:v>
      </x:c>
      <x:c r="F252" s="10" t="n">
        <x:v>230</x:v>
      </x:c>
      <x:c r="G252" s="7" t="str">
        <x:v>150–360</x:v>
      </x:c>
      <x:c r="H252" s="7" t="str">
        <x:v>配料估算</x:v>
      </x:c>
      <x:c r="I252" s="7" t="str">
        <x:v>生椰调制基底</x:v>
      </x:c>
      <x:c r="J252" s="12" t="str">
        <x:v>待核实</x:v>
      </x:c>
      <x:c r="K252" s="12" t="str"/>
      <x:c r="L252" s="7" t="str">
        <x:v>https://www.nckfhsm.com/brands/ken-de-ji/menu/available</x:v>
      </x:c>
      <x:c r="M252" s="7" t="str">
        <x:v>菜单仅支持名称；假设生椰调制基底200–300 ml，60–100 kcal/100 ml，加糖0–15 g。</x:v>
      </x:c>
      <x:c r="N252" s="7" t="str">
        <x:v>待核实当前在售、杯型、糖度和热量；估算份量不是品牌配方。</x:v>
      </x:c>
      <x:c r="O252" s="7" t="str">
        <x:v>2026-10-04</x:v>
      </x:c>
    </x:row>
    <x:row r="253" ht="46" customHeight="1">
      <x:c r="A253" s="9" t="str">
        <x:v>D252</x:v>
      </x:c>
      <x:c r="B253" s="9" t="str">
        <x:v>肯悦咖啡 KCOFFEE</x:v>
      </x:c>
      <x:c r="C253" s="9" t="str">
        <x:v>浓萃拿铁</x:v>
      </x:c>
      <x:c r="D253" s="9" t="str">
        <x:v>未注明</x:v>
      </x:c>
      <x:c r="E253" s="9" t="str">
        <x:v>未注明</x:v>
      </x:c>
      <x:c r="F253" s="11" t="n">
        <x:v>180</x:v>
      </x:c>
      <x:c r="G253" s="9" t="str">
        <x:v>120–260</x:v>
      </x:c>
      <x:c r="H253" s="9" t="str">
        <x:v>配料估算</x:v>
      </x:c>
      <x:c r="I253" s="9" t="str">
        <x:v>无额外小料；乳基底已计入</x:v>
      </x:c>
      <x:c r="J253" s="12" t="str">
        <x:v>待核实</x:v>
      </x:c>
      <x:c r="K253" s="12" t="str"/>
      <x:c r="L253" s="9" t="str">
        <x:v>https://www.nckfhsm.com/brands/ken-de-ji/menu/available?page=5</x:v>
      </x:c>
      <x:c r="M253" s="9" t="str">
        <x:v>菜单仅支持名称；假设全脂奶200–350 ml约61 kcal/100 g，加咖啡5–15 kcal。</x:v>
      </x:c>
      <x:c r="N253" s="9" t="str">
        <x:v>待核实当前在售、杯型、糖度和热量；估算份量不是品牌配方。</x:v>
      </x:c>
      <x:c r="O253" s="9" t="str">
        <x:v>2026-10-04</x:v>
      </x:c>
    </x:row>
    <x:row r="254" ht="46" customHeight="1">
      <x:c r="A254" s="7" t="str">
        <x:v>D253</x:v>
      </x:c>
      <x:c r="B254" s="7" t="str">
        <x:v>肯悦咖啡 KCOFFEE</x:v>
      </x:c>
      <x:c r="C254" s="7" t="str">
        <x:v>蜜桃生椰拿铁</x:v>
      </x:c>
      <x:c r="D254" s="7" t="str">
        <x:v>未注明</x:v>
      </x:c>
      <x:c r="E254" s="7" t="str">
        <x:v>未注明</x:v>
      </x:c>
      <x:c r="F254" s="10" t="n">
        <x:v>280</x:v>
      </x:c>
      <x:c r="G254" s="7" t="str">
        <x:v>180–420</x:v>
      </x:c>
      <x:c r="H254" s="7" t="str">
        <x:v>配料估算</x:v>
      </x:c>
      <x:c r="I254" s="7" t="str">
        <x:v>生椰、蜜桃风味配料</x:v>
      </x:c>
      <x:c r="J254" s="12" t="str">
        <x:v>待核实</x:v>
      </x:c>
      <x:c r="K254" s="12" t="str"/>
      <x:c r="L254" s="7" t="str">
        <x:v>https://www.nckfhsm.com/brands/ken-de-ji/menu/available?page=5</x:v>
      </x:c>
      <x:c r="M254" s="7" t="str">
        <x:v>菜单仅支持名称；生椰拿铁基础估算150–360 kcal，另含蜜桃风味糖浆/果酱约20–60 kcal。</x:v>
      </x:c>
      <x:c r="N254" s="7" t="str">
        <x:v>待核实当前在售、杯型、糖度和热量；估算份量不是品牌配方。</x:v>
      </x:c>
      <x:c r="O254" s="7" t="str">
        <x:v>2026-10-04</x:v>
      </x:c>
    </x:row>
    <x:row r="255" ht="46" customHeight="1">
      <x:c r="A255" s="9" t="str">
        <x:v>D254</x:v>
      </x:c>
      <x:c r="B255" s="9" t="str">
        <x:v>肯悦咖啡 KCOFFEE</x:v>
      </x:c>
      <x:c r="C255" s="9" t="str">
        <x:v>开心果风味拿铁</x:v>
      </x:c>
      <x:c r="D255" s="9" t="str">
        <x:v>未注明</x:v>
      </x:c>
      <x:c r="E255" s="9" t="str">
        <x:v>未注明</x:v>
      </x:c>
      <x:c r="F255" s="11" t="n">
        <x:v>280</x:v>
      </x:c>
      <x:c r="G255" s="9" t="str">
        <x:v>180–420</x:v>
      </x:c>
      <x:c r="H255" s="9" t="str">
        <x:v>配料估算</x:v>
      </x:c>
      <x:c r="I255" s="9" t="str">
        <x:v>开心果风味酱</x:v>
      </x:c>
      <x:c r="J255" s="12" t="str">
        <x:v>待核实</x:v>
      </x:c>
      <x:c r="K255" s="12" t="str"/>
      <x:c r="L255" s="9" t="str">
        <x:v>https://www.nckfhsm.com/brands/ken-de-ji/menu/available?page=5</x:v>
      </x:c>
      <x:c r="M255" s="9" t="str">
        <x:v>菜单仅支持名称；奶200–300 ml约120–185 kcal，坚果酱10–25 g约60–150 kcal及糖浆。</x:v>
      </x:c>
      <x:c r="N255" s="9" t="str">
        <x:v>待核实当前在售、杯型、糖度和热量；估算份量不是品牌配方。</x:v>
      </x:c>
      <x:c r="O255" s="9" t="str">
        <x:v>2026-10-04</x:v>
      </x:c>
    </x:row>
    <x:row r="256" ht="46" customHeight="1">
      <x:c r="A256" s="7" t="str">
        <x:v>D255</x:v>
      </x:c>
      <x:c r="B256" s="7" t="str">
        <x:v>肯悦咖啡 KCOFFEE</x:v>
      </x:c>
      <x:c r="C256" s="7" t="str">
        <x:v>浓浓抹茶拿铁</x:v>
      </x:c>
      <x:c r="D256" s="7" t="str">
        <x:v>未注明</x:v>
      </x:c>
      <x:c r="E256" s="7" t="str">
        <x:v>未注明</x:v>
      </x:c>
      <x:c r="F256" s="10" t="n">
        <x:v>250</x:v>
      </x:c>
      <x:c r="G256" s="7" t="str">
        <x:v>150–380</x:v>
      </x:c>
      <x:c r="H256" s="7" t="str">
        <x:v>配料估算</x:v>
      </x:c>
      <x:c r="I256" s="7" t="str">
        <x:v>抹茶配料；不含咖啡</x:v>
      </x:c>
      <x:c r="J256" s="12" t="str">
        <x:v>待核实</x:v>
      </x:c>
      <x:c r="K256" s="12" t="str"/>
      <x:c r="L256" s="7" t="str">
        <x:v>https://www.nckfhsm.com/brands/ken-de-ji/menu/available?page=5</x:v>
      </x:c>
      <x:c r="M256" s="7" t="str">
        <x:v>菜单仅支持名称；奶200–300 ml约120–185 kcal，抹茶/含糖预拌料和糖约20–45 g碳水80–180 kcal。</x:v>
      </x:c>
      <x:c r="N256" s="7" t="str">
        <x:v>待核实当前在售、杯型、糖度和热量；估算份量不是品牌配方。</x:v>
      </x:c>
      <x:c r="O256" s="7" t="str">
        <x:v>2026-10-04</x:v>
      </x:c>
    </x:row>
    <x:row r="257" ht="46" customHeight="1">
      <x:c r="A257" s="9" t="str">
        <x:v>D256</x:v>
      </x:c>
      <x:c r="B257" s="9" t="str">
        <x:v>肯悦咖啡 KCOFFEE</x:v>
      </x:c>
      <x:c r="C257" s="9" t="str">
        <x:v>黑糖珍珠奶茶</x:v>
      </x:c>
      <x:c r="D257" s="9" t="str">
        <x:v>未注明</x:v>
      </x:c>
      <x:c r="E257" s="9" t="str">
        <x:v>未注明</x:v>
      </x:c>
      <x:c r="F257" s="11" t="n">
        <x:v>380</x:v>
      </x:c>
      <x:c r="G257" s="9" t="str">
        <x:v>260–520</x:v>
      </x:c>
      <x:c r="H257" s="9" t="str">
        <x:v>配料估算</x:v>
      </x:c>
      <x:c r="I257" s="9" t="str">
        <x:v>黑糖、珍珠</x:v>
      </x:c>
      <x:c r="J257" s="12" t="str">
        <x:v>待核实</x:v>
      </x:c>
      <x:c r="K257" s="12" t="str"/>
      <x:c r="L257" s="9" t="str">
        <x:v>https://www.nckfhsm.com/brands/ken-de-ji/menu/available?page=5</x:v>
      </x:c>
      <x:c r="M257" s="9" t="str">
        <x:v>菜单仅支持名称；乳基底120–200 kcal，熟珍珠50–80 g约80–140 kcal，黑糖浆约40–120 kcal。</x:v>
      </x:c>
      <x:c r="N257" s="9" t="str">
        <x:v>待核实当前在售、杯型、糖度和热量；估算份量不是品牌配方。</x:v>
      </x:c>
      <x:c r="O257" s="9" t="str">
        <x:v>2026-10-04</x:v>
      </x:c>
    </x:row>
    <x:row r="258" ht="46" customHeight="1">
      <x:c r="A258" s="7" t="str">
        <x:v>D257</x:v>
      </x:c>
      <x:c r="B258" s="7" t="str">
        <x:v>Tims 天好咖啡</x:v>
      </x:c>
      <x:c r="C258" s="7" t="str">
        <x:v>美式</x:v>
      </x:c>
      <x:c r="D258" s="7" t="str">
        <x:v>473 ml</x:v>
      </x:c>
      <x:c r="E258" s="7" t="str">
        <x:v>未注明</x:v>
      </x:c>
      <x:c r="F258" s="10" t="n">
        <x:v>0</x:v>
      </x:c>
      <x:c r="G258" s="7" t="str">
        <x:v>0–15</x:v>
      </x:c>
      <x:c r="H258" s="7" t="str">
        <x:v>第三方参考</x:v>
      </x:c>
      <x:c r="I258" s="7" t="str">
        <x:v>无额外小料；乳基底已计入</x:v>
      </x:c>
      <x:c r="J258" s="12" t="str">
        <x:v>待核实</x:v>
      </x:c>
      <x:c r="K258" s="12" t="str"/>
      <x:c r="L258" s="7" t="str">
        <x:v>https://www.nckfhsm.com/brands/tims/menu/available?page=4</x:v>
      </x:c>
      <x:c r="M258" s="7" t="str">
        <x:v>第三方菜单列0 kcal；范围是草稿核实容差，不是品牌公布糖度范围。</x:v>
      </x:c>
      <x:c r="N258" s="7" t="str">
        <x:v>待核实当前在售、杯型、糖度和热量；估算份量不是品牌配方。</x:v>
      </x:c>
      <x:c r="O258" s="7" t="str">
        <x:v>2026-10-04</x:v>
      </x:c>
    </x:row>
    <x:row r="259" ht="46" customHeight="1">
      <x:c r="A259" s="9" t="str">
        <x:v>D258</x:v>
      </x:c>
      <x:c r="B259" s="9" t="str">
        <x:v>Tims 天好咖啡</x:v>
      </x:c>
      <x:c r="C259" s="9" t="str">
        <x:v>拿铁</x:v>
      </x:c>
      <x:c r="D259" s="9" t="str">
        <x:v>473 ml</x:v>
      </x:c>
      <x:c r="E259" s="9" t="str">
        <x:v>未注明</x:v>
      </x:c>
      <x:c r="F259" s="11" t="n">
        <x:v>163</x:v>
      </x:c>
      <x:c r="G259" s="9" t="str">
        <x:v>122–212</x:v>
      </x:c>
      <x:c r="H259" s="9" t="str">
        <x:v>第三方参考</x:v>
      </x:c>
      <x:c r="I259" s="9" t="str">
        <x:v>无额外小料；乳基底已计入</x:v>
      </x:c>
      <x:c r="J259" s="12" t="str">
        <x:v>待核实</x:v>
      </x:c>
      <x:c r="K259" s="12" t="str"/>
      <x:c r="L259" s="9" t="str">
        <x:v>https://www.nckfhsm.com/brands/tims/menu/available?page=4</x:v>
      </x:c>
      <x:c r="M259" s="9" t="str">
        <x:v>第三方菜单列163 kcal；范围是草稿核实容差，不是品牌公布糖度范围。</x:v>
      </x:c>
      <x:c r="N259" s="9" t="str">
        <x:v>待核实当前在售、杯型、糖度和热量；估算份量不是品牌配方。</x:v>
      </x:c>
      <x:c r="O259" s="9" t="str">
        <x:v>2026-10-04</x:v>
      </x:c>
    </x:row>
    <x:row r="260" ht="46" customHeight="1">
      <x:c r="A260" s="7" t="str">
        <x:v>D259</x:v>
      </x:c>
      <x:c r="B260" s="7" t="str">
        <x:v>Tims 天好咖啡</x:v>
      </x:c>
      <x:c r="C260" s="7" t="str">
        <x:v>水牛乳拿铁</x:v>
      </x:c>
      <x:c r="D260" s="7" t="str">
        <x:v>473 ml</x:v>
      </x:c>
      <x:c r="E260" s="7" t="str">
        <x:v>未注明</x:v>
      </x:c>
      <x:c r="F260" s="10" t="n">
        <x:v>168</x:v>
      </x:c>
      <x:c r="G260" s="7" t="str">
        <x:v>126–218</x:v>
      </x:c>
      <x:c r="H260" s="7" t="str">
        <x:v>第三方参考</x:v>
      </x:c>
      <x:c r="I260" s="7" t="str">
        <x:v>水牛乳</x:v>
      </x:c>
      <x:c r="J260" s="12" t="str">
        <x:v>待核实</x:v>
      </x:c>
      <x:c r="K260" s="12" t="str"/>
      <x:c r="L260" s="7" t="str">
        <x:v>https://www.nckfhsm.com/brands/tims/menu/available?page=4</x:v>
      </x:c>
      <x:c r="M260" s="7" t="str">
        <x:v>第三方菜单列168 kcal；范围是草稿核实容差，不是品牌公布糖度范围。</x:v>
      </x:c>
      <x:c r="N260" s="7" t="str">
        <x:v>待核实当前在售、杯型、糖度和热量；估算份量不是品牌配方。</x:v>
      </x:c>
      <x:c r="O260" s="7" t="str">
        <x:v>2026-10-04</x:v>
      </x:c>
    </x:row>
    <x:row r="261" ht="46" customHeight="1">
      <x:c r="A261" s="9" t="str">
        <x:v>D260</x:v>
      </x:c>
      <x:c r="B261" s="9" t="str">
        <x:v>Tims 天好咖啡</x:v>
      </x:c>
      <x:c r="C261" s="9" t="str">
        <x:v>燕麦拿铁</x:v>
      </x:c>
      <x:c r="D261" s="9" t="str">
        <x:v>473 ml</x:v>
      </x:c>
      <x:c r="E261" s="9" t="str">
        <x:v>未注明</x:v>
      </x:c>
      <x:c r="F261" s="11" t="n">
        <x:v>131</x:v>
      </x:c>
      <x:c r="G261" s="9" t="str">
        <x:v>98–170</x:v>
      </x:c>
      <x:c r="H261" s="9" t="str">
        <x:v>第三方参考</x:v>
      </x:c>
      <x:c r="I261" s="9" t="str">
        <x:v>燕麦奶</x:v>
      </x:c>
      <x:c r="J261" s="12" t="str">
        <x:v>待核实</x:v>
      </x:c>
      <x:c r="K261" s="12" t="str"/>
      <x:c r="L261" s="9" t="str">
        <x:v>https://www.nckfhsm.com/brands/tims/menu/available?page=4</x:v>
      </x:c>
      <x:c r="M261" s="9" t="str">
        <x:v>第三方菜单列131 kcal；范围是草稿核实容差，不是品牌公布糖度范围。</x:v>
      </x:c>
      <x:c r="N261" s="9" t="str">
        <x:v>待核实当前在售、杯型、糖度和热量；估算份量不是品牌配方。</x:v>
      </x:c>
      <x:c r="O261" s="9" t="str">
        <x:v>2026-10-04</x:v>
      </x:c>
    </x:row>
    <x:row r="262" ht="46" customHeight="1">
      <x:c r="A262" s="7" t="str">
        <x:v>D261</x:v>
      </x:c>
      <x:c r="B262" s="7" t="str">
        <x:v>Tims 天好咖啡</x:v>
      </x:c>
      <x:c r="C262" s="7" t="str">
        <x:v>燕麦澳白</x:v>
      </x:c>
      <x:c r="D262" s="7" t="str">
        <x:v>473 ml</x:v>
      </x:c>
      <x:c r="E262" s="7" t="str">
        <x:v>未注明</x:v>
      </x:c>
      <x:c r="F262" s="10" t="n">
        <x:v>152</x:v>
      </x:c>
      <x:c r="G262" s="7" t="str">
        <x:v>114–198</x:v>
      </x:c>
      <x:c r="H262" s="7" t="str">
        <x:v>第三方参考</x:v>
      </x:c>
      <x:c r="I262" s="7" t="str">
        <x:v>燕麦奶</x:v>
      </x:c>
      <x:c r="J262" s="12" t="str">
        <x:v>待核实</x:v>
      </x:c>
      <x:c r="K262" s="12" t="str"/>
      <x:c r="L262" s="7" t="str">
        <x:v>https://www.nckfhsm.com/brands/tims/menu/available?page=4</x:v>
      </x:c>
      <x:c r="M262" s="7" t="str">
        <x:v>第三方菜单列152 kcal；范围是草稿核实容差，不是品牌公布糖度范围。</x:v>
      </x:c>
      <x:c r="N262" s="7" t="str">
        <x:v>待核实当前在售、杯型、糖度和热量；估算份量不是品牌配方。</x:v>
      </x:c>
      <x:c r="O262" s="7" t="str">
        <x:v>2026-10-04</x:v>
      </x:c>
    </x:row>
    <x:row r="263" ht="46" customHeight="1">
      <x:c r="A263" s="9" t="str">
        <x:v>D262</x:v>
      </x:c>
      <x:c r="B263" s="9" t="str">
        <x:v>Tims 天好咖啡</x:v>
      </x:c>
      <x:c r="C263" s="9" t="str">
        <x:v>生椰冷萃</x:v>
      </x:c>
      <x:c r="D263" s="9" t="str">
        <x:v>473 ml</x:v>
      </x:c>
      <x:c r="E263" s="9" t="str">
        <x:v>未注明</x:v>
      </x:c>
      <x:c r="F263" s="11" t="n">
        <x:v>184</x:v>
      </x:c>
      <x:c r="G263" s="9" t="str">
        <x:v>138–239</x:v>
      </x:c>
      <x:c r="H263" s="9" t="str">
        <x:v>第三方参考</x:v>
      </x:c>
      <x:c r="I263" s="9" t="str">
        <x:v>生椰基底</x:v>
      </x:c>
      <x:c r="J263" s="12" t="str">
        <x:v>待核实</x:v>
      </x:c>
      <x:c r="K263" s="12" t="str"/>
      <x:c r="L263" s="9" t="str">
        <x:v>https://www.nckfhsm.com/brands/tims/menu/available?page=4</x:v>
      </x:c>
      <x:c r="M263" s="9" t="str">
        <x:v>第三方菜单列184 kcal；范围是草稿核实容差，不是品牌公布糖度范围。</x:v>
      </x:c>
      <x:c r="N263" s="9" t="str">
        <x:v>待核实当前在售、杯型、糖度和热量；估算份量不是品牌配方。</x:v>
      </x:c>
      <x:c r="O263" s="9" t="str">
        <x:v>2026-10-04</x:v>
      </x:c>
    </x:row>
    <x:row r="264" ht="46" customHeight="1">
      <x:c r="A264" s="7" t="str">
        <x:v>D263</x:v>
      </x:c>
      <x:c r="B264" s="7" t="str">
        <x:v>Tims 天好咖啡</x:v>
      </x:c>
      <x:c r="C264" s="7" t="str">
        <x:v>不止拿铁</x:v>
      </x:c>
      <x:c r="D264" s="7" t="str">
        <x:v>473 ml</x:v>
      </x:c>
      <x:c r="E264" s="7" t="str">
        <x:v>未注明</x:v>
      </x:c>
      <x:c r="F264" s="10" t="n">
        <x:v>311</x:v>
      </x:c>
      <x:c r="G264" s="7" t="str">
        <x:v>233–404</x:v>
      </x:c>
      <x:c r="H264" s="7" t="str">
        <x:v>第三方参考</x:v>
      </x:c>
      <x:c r="I264" s="7" t="str">
        <x:v>配料未注明</x:v>
      </x:c>
      <x:c r="J264" s="12" t="str">
        <x:v>待核实</x:v>
      </x:c>
      <x:c r="K264" s="12" t="str"/>
      <x:c r="L264" s="7" t="str">
        <x:v>https://www.nckfhsm.com/brands/tims/menu/available?page=4</x:v>
      </x:c>
      <x:c r="M264" s="7" t="str">
        <x:v>第三方菜单列311 kcal；范围是草稿核实容差，不是品牌公布糖度范围。</x:v>
      </x:c>
      <x:c r="N264" s="7" t="str">
        <x:v>待核实当前在售、杯型、糖度和热量；估算份量不是品牌配方。</x:v>
      </x:c>
      <x:c r="O264" s="7" t="str">
        <x:v>2026-10-04</x:v>
      </x:c>
    </x:row>
    <x:row r="265" ht="46" customHeight="1">
      <x:c r="A265" s="9" t="str">
        <x:v>D264</x:v>
      </x:c>
      <x:c r="B265" s="9" t="str">
        <x:v>Tims 天好咖啡</x:v>
      </x:c>
      <x:c r="C265" s="9" t="str">
        <x:v>椰香水冷萃</x:v>
      </x:c>
      <x:c r="D265" s="9" t="str">
        <x:v>473 ml</x:v>
      </x:c>
      <x:c r="E265" s="9" t="str">
        <x:v>未注明</x:v>
      </x:c>
      <x:c r="F265" s="11" t="n">
        <x:v>45</x:v>
      </x:c>
      <x:c r="G265" s="9" t="str">
        <x:v>34–58</x:v>
      </x:c>
      <x:c r="H265" s="9" t="str">
        <x:v>第三方参考</x:v>
      </x:c>
      <x:c r="I265" s="9" t="str">
        <x:v>椰子水</x:v>
      </x:c>
      <x:c r="J265" s="12" t="str">
        <x:v>待核实</x:v>
      </x:c>
      <x:c r="K265" s="12" t="str"/>
      <x:c r="L265" s="9" t="str">
        <x:v>https://www.nckfhsm.com/brands/tims/menu/available?page=4</x:v>
      </x:c>
      <x:c r="M265" s="9" t="str">
        <x:v>第三方菜单列45 kcal；范围是草稿核实容差，不是品牌公布糖度范围。</x:v>
      </x:c>
      <x:c r="N265" s="9" t="str">
        <x:v>待核实当前在售、杯型、糖度和热量；估算份量不是品牌配方。</x:v>
      </x:c>
      <x:c r="O265" s="9" t="str">
        <x:v>2026-10-04</x:v>
      </x:c>
    </x:row>
    <x:row r="266" ht="63" customHeight="1">
      <x:c r="A266" s="7" t="str">
        <x:v>D265</x:v>
      </x:c>
      <x:c r="B266" s="7" t="str">
        <x:v>皮爷咖啡 Peet’s Coffee</x:v>
      </x:c>
      <x:c r="C266" s="7" t="str">
        <x:v>精粹美式</x:v>
      </x:c>
      <x:c r="D266" s="7" t="str">
        <x:v>350 ml</x:v>
      </x:c>
      <x:c r="E266" s="7" t="str">
        <x:v>未注明</x:v>
      </x:c>
      <x:c r="F266" s="10" t="n">
        <x:v>0</x:v>
      </x:c>
      <x:c r="G266" s="7" t="str">
        <x:v>0–15</x:v>
      </x:c>
      <x:c r="H266" s="7" t="str">
        <x:v>第三方参考</x:v>
      </x:c>
      <x:c r="I266" s="7" t="str">
        <x:v>无额外小料；乳基底已计入</x:v>
      </x:c>
      <x:c r="J266" s="12" t="str">
        <x:v>待核实</x:v>
      </x:c>
      <x:c r="K266" s="12" t="str"/>
      <x:c r="L266" s="7" t="str">
        <x:v>https://www.nckfhsm.com/brands/peets-coffee/menu/available?page=8</x:v>
      </x:c>
      <x:c r="M266" s="7" t="str">
        <x:v>第三方菜单列0 kcal，未将热量明确映射到容量区间某一杯型；范围为核实容差。</x:v>
      </x:c>
      <x:c r="N266" s="7" t="str">
        <x:v>待核实当前在售、杯型、糖度和热量；估算份量不是品牌配方。</x:v>
      </x:c>
      <x:c r="O266" s="7" t="str">
        <x:v>2026-10-04</x:v>
      </x:c>
    </x:row>
    <x:row r="267" ht="63" customHeight="1">
      <x:c r="A267" s="9" t="str">
        <x:v>D266</x:v>
      </x:c>
      <x:c r="B267" s="9" t="str">
        <x:v>皮爷咖啡 Peet’s Coffee</x:v>
      </x:c>
      <x:c r="C267" s="9" t="str">
        <x:v>燕麦拿铁</x:v>
      </x:c>
      <x:c r="D267" s="9" t="str">
        <x:v>350–470 ml</x:v>
      </x:c>
      <x:c r="E267" s="9" t="str">
        <x:v>未注明</x:v>
      </x:c>
      <x:c r="F267" s="11" t="n">
        <x:v>149</x:v>
      </x:c>
      <x:c r="G267" s="9" t="str">
        <x:v>112–194</x:v>
      </x:c>
      <x:c r="H267" s="9" t="str">
        <x:v>第三方参考</x:v>
      </x:c>
      <x:c r="I267" s="9" t="str">
        <x:v>燕麦奶</x:v>
      </x:c>
      <x:c r="J267" s="12" t="str">
        <x:v>待核实</x:v>
      </x:c>
      <x:c r="K267" s="12" t="str"/>
      <x:c r="L267" s="9" t="str">
        <x:v>https://www.nckfhsm.com/brands/peets-coffee/menu/available?page=8</x:v>
      </x:c>
      <x:c r="M267" s="9" t="str">
        <x:v>第三方菜单列149 kcal，未将热量明确映射到容量区间某一杯型；范围为核实容差。</x:v>
      </x:c>
      <x:c r="N267" s="9" t="str">
        <x:v>待核实当前在售、杯型、糖度和热量；估算份量不是品牌配方。</x:v>
      </x:c>
      <x:c r="O267" s="9" t="str">
        <x:v>2026-10-04</x:v>
      </x:c>
    </x:row>
    <x:row r="268" ht="63" customHeight="1">
      <x:c r="A268" s="7" t="str">
        <x:v>D267</x:v>
      </x:c>
      <x:c r="B268" s="7" t="str">
        <x:v>皮爷咖啡 Peet’s Coffee</x:v>
      </x:c>
      <x:c r="C268" s="7" t="str">
        <x:v>焦糖玛奇朵</x:v>
      </x:c>
      <x:c r="D268" s="7" t="str">
        <x:v>350–470 ml</x:v>
      </x:c>
      <x:c r="E268" s="7" t="str">
        <x:v>未注明</x:v>
      </x:c>
      <x:c r="F268" s="10" t="n">
        <x:v>206</x:v>
      </x:c>
      <x:c r="G268" s="7" t="str">
        <x:v>154–268</x:v>
      </x:c>
      <x:c r="H268" s="7" t="str">
        <x:v>第三方参考</x:v>
      </x:c>
      <x:c r="I268" s="7" t="str">
        <x:v>焦糖配料</x:v>
      </x:c>
      <x:c r="J268" s="12" t="str">
        <x:v>待核实</x:v>
      </x:c>
      <x:c r="K268" s="12" t="str"/>
      <x:c r="L268" s="7" t="str">
        <x:v>https://www.nckfhsm.com/brands/peets-coffee/menu/available?page=8</x:v>
      </x:c>
      <x:c r="M268" s="7" t="str">
        <x:v>第三方菜单列206 kcal，未将热量明确映射到容量区间某一杯型；范围为核实容差。</x:v>
      </x:c>
      <x:c r="N268" s="7" t="str">
        <x:v>待核实当前在售、杯型、糖度和热量；估算份量不是品牌配方。</x:v>
      </x:c>
      <x:c r="O268" s="7" t="str">
        <x:v>2026-10-04</x:v>
      </x:c>
    </x:row>
    <x:row r="269" ht="63" customHeight="1">
      <x:c r="A269" s="9" t="str">
        <x:v>D268</x:v>
      </x:c>
      <x:c r="B269" s="9" t="str">
        <x:v>皮爷咖啡 Peet’s Coffee</x:v>
      </x:c>
      <x:c r="C269" s="9" t="str">
        <x:v>抹茶拿铁</x:v>
      </x:c>
      <x:c r="D269" s="9" t="str">
        <x:v>350–470 ml</x:v>
      </x:c>
      <x:c r="E269" s="9" t="str">
        <x:v>未注明</x:v>
      </x:c>
      <x:c r="F269" s="11" t="n">
        <x:v>189</x:v>
      </x:c>
      <x:c r="G269" s="9" t="str">
        <x:v>142–246</x:v>
      </x:c>
      <x:c r="H269" s="9" t="str">
        <x:v>第三方参考</x:v>
      </x:c>
      <x:c r="I269" s="9" t="str">
        <x:v>抹茶配料；不含咖啡</x:v>
      </x:c>
      <x:c r="J269" s="12" t="str">
        <x:v>待核实</x:v>
      </x:c>
      <x:c r="K269" s="12" t="str"/>
      <x:c r="L269" s="9" t="str">
        <x:v>https://www.nckfhsm.com/brands/peets-coffee/menu/available?page=8</x:v>
      </x:c>
      <x:c r="M269" s="9" t="str">
        <x:v>第三方菜单列189 kcal，未将热量明确映射到容量区间某一杯型；范围为核实容差。</x:v>
      </x:c>
      <x:c r="N269" s="9" t="str">
        <x:v>待核实当前在售、杯型、糖度和热量；估算份量不是品牌配方。</x:v>
      </x:c>
      <x:c r="O269" s="9" t="str">
        <x:v>2026-10-04</x:v>
      </x:c>
    </x:row>
    <x:row r="270" ht="63" customHeight="1">
      <x:c r="A270" s="7" t="str">
        <x:v>D269</x:v>
      </x:c>
      <x:c r="B270" s="7" t="str">
        <x:v>皮爷咖啡 Peet’s Coffee</x:v>
      </x:c>
      <x:c r="C270" s="7" t="str">
        <x:v>芝士分子拿铁</x:v>
      </x:c>
      <x:c r="D270" s="7" t="str">
        <x:v>350 ml</x:v>
      </x:c>
      <x:c r="E270" s="7" t="str">
        <x:v>未注明</x:v>
      </x:c>
      <x:c r="F270" s="10" t="n">
        <x:v>224</x:v>
      </x:c>
      <x:c r="G270" s="7" t="str">
        <x:v>168–291</x:v>
      </x:c>
      <x:c r="H270" s="7" t="str">
        <x:v>第三方参考</x:v>
      </x:c>
      <x:c r="I270" s="7" t="str">
        <x:v>芝士配料</x:v>
      </x:c>
      <x:c r="J270" s="12" t="str">
        <x:v>待核实</x:v>
      </x:c>
      <x:c r="K270" s="12" t="str"/>
      <x:c r="L270" s="7" t="str">
        <x:v>https://www.nckfhsm.com/brands/peets-coffee/menu/available?page=8</x:v>
      </x:c>
      <x:c r="M270" s="7" t="str">
        <x:v>第三方菜单列224 kcal，未将热量明确映射到容量区间某一杯型；范围为核实容差。</x:v>
      </x:c>
      <x:c r="N270" s="7" t="str">
        <x:v>待核实当前在售、杯型、糖度和热量；估算份量不是品牌配方。</x:v>
      </x:c>
      <x:c r="O270" s="7" t="str">
        <x:v>2026-10-04</x:v>
      </x:c>
    </x:row>
    <x:row r="271" ht="63" customHeight="1">
      <x:c r="A271" s="9" t="str">
        <x:v>D270</x:v>
      </x:c>
      <x:c r="B271" s="9" t="str">
        <x:v>皮爷咖啡 Peet’s Coffee</x:v>
      </x:c>
      <x:c r="C271" s="9" t="str">
        <x:v>焦糖烧拿铁</x:v>
      </x:c>
      <x:c r="D271" s="9" t="str">
        <x:v>350–470 ml</x:v>
      </x:c>
      <x:c r="E271" s="9" t="str">
        <x:v>未注明</x:v>
      </x:c>
      <x:c r="F271" s="11" t="n">
        <x:v>232</x:v>
      </x:c>
      <x:c r="G271" s="9" t="str">
        <x:v>174–302</x:v>
      </x:c>
      <x:c r="H271" s="9" t="str">
        <x:v>第三方参考</x:v>
      </x:c>
      <x:c r="I271" s="9" t="str">
        <x:v>焦糖配料</x:v>
      </x:c>
      <x:c r="J271" s="12" t="str">
        <x:v>待核实</x:v>
      </x:c>
      <x:c r="K271" s="12" t="str"/>
      <x:c r="L271" s="9" t="str">
        <x:v>https://www.nckfhsm.com/brands/peets-coffee/menu/available?page=8</x:v>
      </x:c>
      <x:c r="M271" s="9" t="str">
        <x:v>第三方菜单列232 kcal，未将热量明确映射到容量区间某一杯型；范围为核实容差。</x:v>
      </x:c>
      <x:c r="N271" s="9" t="str">
        <x:v>待核实当前在售、杯型、糖度和热量；估算份量不是品牌配方。</x:v>
      </x:c>
      <x:c r="O271" s="9" t="str">
        <x:v>2026-10-04</x:v>
      </x:c>
    </x:row>
    <x:row r="272" ht="63" customHeight="1">
      <x:c r="A272" s="7" t="str">
        <x:v>D271</x:v>
      </x:c>
      <x:c r="B272" s="7" t="str">
        <x:v>皮爷咖啡 Peet’s Coffee</x:v>
      </x:c>
      <x:c r="C272" s="7" t="str">
        <x:v>冰摇香柠冷萃咖啡</x:v>
      </x:c>
      <x:c r="D272" s="7" t="str">
        <x:v>350–470 ml</x:v>
      </x:c>
      <x:c r="E272" s="7" t="str">
        <x:v>未注明</x:v>
      </x:c>
      <x:c r="F272" s="10" t="n">
        <x:v>56</x:v>
      </x:c>
      <x:c r="G272" s="7" t="str">
        <x:v>42–73</x:v>
      </x:c>
      <x:c r="H272" s="7" t="str">
        <x:v>第三方参考</x:v>
      </x:c>
      <x:c r="I272" s="7" t="str">
        <x:v>柠檬特调</x:v>
      </x:c>
      <x:c r="J272" s="12" t="str">
        <x:v>待核实</x:v>
      </x:c>
      <x:c r="K272" s="12" t="str"/>
      <x:c r="L272" s="7" t="str">
        <x:v>https://www.nckfhsm.com/brands/peets-coffee/menu/available?page=8</x:v>
      </x:c>
      <x:c r="M272" s="7" t="str">
        <x:v>第三方菜单列56 kcal，未将热量明确映射到容量区间某一杯型；范围为核实容差。</x:v>
      </x:c>
      <x:c r="N272" s="7" t="str">
        <x:v>待核实当前在售、杯型、糖度和热量；估算份量不是品牌配方。</x:v>
      </x:c>
      <x:c r="O272" s="7" t="str">
        <x:v>2026-10-04</x:v>
      </x:c>
    </x:row>
    <x:row r="273" ht="63" customHeight="1">
      <x:c r="A273" s="9" t="str">
        <x:v>D272</x:v>
      </x:c>
      <x:c r="B273" s="9" t="str">
        <x:v>皮爷咖啡 Peet’s Coffee</x:v>
      </x:c>
      <x:c r="C273" s="9" t="str">
        <x:v>卡布奇诺</x:v>
      </x:c>
      <x:c r="D273" s="9" t="str">
        <x:v>350 ml</x:v>
      </x:c>
      <x:c r="E273" s="9" t="str">
        <x:v>未注明</x:v>
      </x:c>
      <x:c r="F273" s="11" t="n">
        <x:v>160</x:v>
      </x:c>
      <x:c r="G273" s="9" t="str">
        <x:v>110–230</x:v>
      </x:c>
      <x:c r="H273" s="9" t="str">
        <x:v>配料估算</x:v>
      </x:c>
      <x:c r="I273" s="9" t="str">
        <x:v>无额外小料；乳基底已计入</x:v>
      </x:c>
      <x:c r="J273" s="12" t="str">
        <x:v>待核实</x:v>
      </x:c>
      <x:c r="K273" s="12" t="str"/>
      <x:c r="L273" s="9" t="str">
        <x:v>https://www.nckfhsm.com/brands/peets-coffee/menu/available?page=8</x:v>
      </x:c>
      <x:c r="M273" s="9" t="str">
        <x:v>菜单只证实名称/容量；假设乳量180–300 ml约110–185 kcal加咖啡。</x:v>
      </x:c>
      <x:c r="N273" s="9" t="str">
        <x:v>待核实当前在售、杯型、糖度和热量；估算份量不是品牌配方。</x:v>
      </x:c>
      <x:c r="O273" s="9" t="str">
        <x:v>2026-10-04</x:v>
      </x:c>
    </x:row>
    <x:row r="274" ht="46" customHeight="1">
      <x:c r="A274" s="7" t="str">
        <x:v>D273</x:v>
      </x:c>
      <x:c r="B274" s="7" t="str">
        <x:v>M Stand</x:v>
      </x:c>
      <x:c r="C274" s="7" t="str">
        <x:v>拿铁</x:v>
      </x:c>
      <x:c r="D274" s="7" t="str">
        <x:v>未注明</x:v>
      </x:c>
      <x:c r="E274" s="7" t="str">
        <x:v>未注明</x:v>
      </x:c>
      <x:c r="F274" s="10" t="n">
        <x:v>180</x:v>
      </x:c>
      <x:c r="G274" s="7" t="str">
        <x:v>120–260</x:v>
      </x:c>
      <x:c r="H274" s="7" t="str">
        <x:v>配料估算</x:v>
      </x:c>
      <x:c r="I274" s="7" t="str">
        <x:v>无额外小料；乳基底已计入</x:v>
      </x:c>
      <x:c r="J274" s="12" t="str">
        <x:v>待核实</x:v>
      </x:c>
      <x:c r="K274" s="12" t="str"/>
      <x:c r="L274" s="7" t="str">
        <x:v>https://www.mstand.cn/productinfo/747063.html</x:v>
      </x:c>
      <x:c r="M274" s="7" t="str">
        <x:v>官方产品介绍仅证明名称与原料；牛奶200–350 ml约122–214 kcal加咖啡。</x:v>
      </x:c>
      <x:c r="N274" s="7" t="str">
        <x:v>待核实当前在售、杯型、糖度和热量；估算份量不是品牌配方。</x:v>
      </x:c>
      <x:c r="O274" s="7" t="str">
        <x:v>2026-10-04</x:v>
      </x:c>
    </x:row>
    <x:row r="275" ht="46" customHeight="1">
      <x:c r="A275" s="9" t="str">
        <x:v>D274</x:v>
      </x:c>
      <x:c r="B275" s="9" t="str">
        <x:v>M Stand</x:v>
      </x:c>
      <x:c r="C275" s="9" t="str">
        <x:v>燕麦拿铁</x:v>
      </x:c>
      <x:c r="D275" s="9" t="str">
        <x:v>未注明</x:v>
      </x:c>
      <x:c r="E275" s="9" t="str">
        <x:v>未注明</x:v>
      </x:c>
      <x:c r="F275" s="11" t="n">
        <x:v>170</x:v>
      </x:c>
      <x:c r="G275" s="9" t="str">
        <x:v>110–260</x:v>
      </x:c>
      <x:c r="H275" s="9" t="str">
        <x:v>配料估算</x:v>
      </x:c>
      <x:c r="I275" s="9" t="str">
        <x:v>燕麦奶</x:v>
      </x:c>
      <x:c r="J275" s="12" t="str">
        <x:v>待核实</x:v>
      </x:c>
      <x:c r="K275" s="12" t="str"/>
      <x:c r="L275" s="9" t="str">
        <x:v>https://mstand.cn/productinfo/747727.html</x:v>
      </x:c>
      <x:c r="M275" s="9" t="str">
        <x:v>官方产品介绍仅证明名称与原料；燕麦奶200–350 ml约46–64 kcal/100 ml加咖啡。</x:v>
      </x:c>
      <x:c r="N275" s="9" t="str">
        <x:v>待核实当前在售、杯型、糖度和热量；估算份量不是品牌配方。</x:v>
      </x:c>
      <x:c r="O275" s="9" t="str">
        <x:v>2026-10-04</x:v>
      </x:c>
    </x:row>
    <x:row r="276" ht="46" customHeight="1">
      <x:c r="A276" s="7" t="str">
        <x:v>D275</x:v>
      </x:c>
      <x:c r="B276" s="7" t="str">
        <x:v>M Stand</x:v>
      </x:c>
      <x:c r="C276" s="7" t="str">
        <x:v>冷萃</x:v>
      </x:c>
      <x:c r="D276" s="7" t="str">
        <x:v>未注明</x:v>
      </x:c>
      <x:c r="E276" s="7" t="str">
        <x:v>未注明</x:v>
      </x:c>
      <x:c r="F276" s="10" t="n">
        <x:v>5</x:v>
      </x:c>
      <x:c r="G276" s="7" t="str">
        <x:v>0–15</x:v>
      </x:c>
      <x:c r="H276" s="7" t="str">
        <x:v>配料估算</x:v>
      </x:c>
      <x:c r="I276" s="7" t="str">
        <x:v>无额外小料；乳基底已计入</x:v>
      </x:c>
      <x:c r="J276" s="12" t="str">
        <x:v>待核实</x:v>
      </x:c>
      <x:c r="K276" s="12" t="str"/>
      <x:c r="L276" s="7" t="str">
        <x:v>https://www.mstand.cn/productinfo/747721.html</x:v>
      </x:c>
      <x:c r="M276" s="7" t="str">
        <x:v>官方产品介绍仅证明名称与原料；不加奶糖黑咖啡。</x:v>
      </x:c>
      <x:c r="N276" s="7" t="str">
        <x:v>待核实当前在售、杯型、糖度和热量；估算份量不是品牌配方。</x:v>
      </x:c>
      <x:c r="O276" s="7" t="str">
        <x:v>2026-10-04</x:v>
      </x:c>
    </x:row>
    <x:row r="277" ht="46" customHeight="1">
      <x:c r="A277" s="9" t="str">
        <x:v>D276</x:v>
      </x:c>
      <x:c r="B277" s="9" t="str">
        <x:v>M Stand</x:v>
      </x:c>
      <x:c r="C277" s="9" t="str">
        <x:v>鲜椰冰咖</x:v>
      </x:c>
      <x:c r="D277" s="9" t="str">
        <x:v>未注明</x:v>
      </x:c>
      <x:c r="E277" s="9" t="str">
        <x:v>未注明</x:v>
      </x:c>
      <x:c r="F277" s="11" t="n">
        <x:v>110</x:v>
      </x:c>
      <x:c r="G277" s="9" t="str">
        <x:v>60–190</x:v>
      </x:c>
      <x:c r="H277" s="9" t="str">
        <x:v>配料估算</x:v>
      </x:c>
      <x:c r="I277" s="9" t="str">
        <x:v>椰子水、椰肉</x:v>
      </x:c>
      <x:c r="J277" s="12" t="str">
        <x:v>待核实</x:v>
      </x:c>
      <x:c r="K277" s="12" t="str"/>
      <x:c r="L277" s="9" t="str">
        <x:v>https://mstand.cn/productinfo/756215.html</x:v>
      </x:c>
      <x:c r="M277" s="9" t="str">
        <x:v>官方产品介绍仅证明名称与原料；椰子水250–350 ml假设18–25 kcal/100 ml，另含椰肉10–25 g。</x:v>
      </x:c>
      <x:c r="N277" s="9" t="str">
        <x:v>待核实当前在售、杯型、糖度和热量；估算份量不是品牌配方。</x:v>
      </x:c>
      <x:c r="O277" s="9" t="str">
        <x:v>2026-10-04</x:v>
      </x:c>
    </x:row>
    <x:row r="278" ht="46" customHeight="1">
      <x:c r="A278" s="7" t="str">
        <x:v>D277</x:v>
      </x:c>
      <x:c r="B278" s="7" t="str">
        <x:v>M Stand</x:v>
      </x:c>
      <x:c r="C278" s="7" t="str">
        <x:v>生椰Dirty</x:v>
      </x:c>
      <x:c r="D278" s="7" t="str">
        <x:v>未注明</x:v>
      </x:c>
      <x:c r="E278" s="7" t="str">
        <x:v>未注明</x:v>
      </x:c>
      <x:c r="F278" s="10" t="n">
        <x:v>200</x:v>
      </x:c>
      <x:c r="G278" s="7" t="str">
        <x:v>130–300</x:v>
      </x:c>
      <x:c r="H278" s="7" t="str">
        <x:v>配料估算</x:v>
      </x:c>
      <x:c r="I278" s="7" t="str">
        <x:v>牛奶、生椰基底</x:v>
      </x:c>
      <x:c r="J278" s="12" t="str">
        <x:v>待核实</x:v>
      </x:c>
      <x:c r="K278" s="12" t="str"/>
      <x:c r="L278" s="7" t="str">
        <x:v>https://mstand.cn/ProductInfoCategory?categoryId=575736</x:v>
      </x:c>
      <x:c r="M278" s="7" t="str">
        <x:v>官方产品介绍仅证明名称与原料；浓乳/椰乳150–200 ml假设70–120 kcal/100 ml加浓缩。</x:v>
      </x:c>
      <x:c r="N278" s="7" t="str">
        <x:v>待核实当前在售、杯型、糖度和热量；估算份量不是品牌配方。</x:v>
      </x:c>
      <x:c r="O278" s="7" t="str">
        <x:v>2026-10-04</x:v>
      </x:c>
    </x:row>
    <x:row r="279" ht="46" customHeight="1">
      <x:c r="A279" s="9" t="str">
        <x:v>D278</x:v>
      </x:c>
      <x:c r="B279" s="9" t="str">
        <x:v>M Stand</x:v>
      </x:c>
      <x:c r="C279" s="9" t="str">
        <x:v>冰摇香橙美式</x:v>
      </x:c>
      <x:c r="D279" s="9" t="str">
        <x:v>未注明</x:v>
      </x:c>
      <x:c r="E279" s="9" t="str">
        <x:v>未注明</x:v>
      </x:c>
      <x:c r="F279" s="11" t="n">
        <x:v>120</x:v>
      </x:c>
      <x:c r="G279" s="9" t="str">
        <x:v>70–200</x:v>
      </x:c>
      <x:c r="H279" s="9" t="str">
        <x:v>配料估算</x:v>
      </x:c>
      <x:c r="I279" s="9" t="str">
        <x:v>橙汁/橙味配料</x:v>
      </x:c>
      <x:c r="J279" s="12" t="str">
        <x:v>待核实</x:v>
      </x:c>
      <x:c r="K279" s="12" t="str"/>
      <x:c r="L279" s="9" t="str">
        <x:v>https://mstand.cn/ProductInfoCategory?categoryId=575736</x:v>
      </x:c>
      <x:c r="M279" s="9" t="str">
        <x:v>官方产品介绍仅证明名称与原料；橙汁100–200 ml约45 kcal/100 ml，可能额外糖10–25 g。</x:v>
      </x:c>
      <x:c r="N279" s="9" t="str">
        <x:v>待核实当前在售、杯型、糖度和热量；估算份量不是品牌配方。</x:v>
      </x:c>
      <x:c r="O279" s="9" t="str">
        <x:v>2026-10-04</x:v>
      </x:c>
    </x:row>
    <x:row r="280" ht="46" customHeight="1">
      <x:c r="A280" s="7" t="str">
        <x:v>D279</x:v>
      </x:c>
      <x:c r="B280" s="7" t="str">
        <x:v>M Stand</x:v>
      </x:c>
      <x:c r="C280" s="7" t="str">
        <x:v>西柚气泡冰咖</x:v>
      </x:c>
      <x:c r="D280" s="7" t="str">
        <x:v>未注明</x:v>
      </x:c>
      <x:c r="E280" s="7" t="str">
        <x:v>未注明</x:v>
      </x:c>
      <x:c r="F280" s="10" t="n">
        <x:v>120</x:v>
      </x:c>
      <x:c r="G280" s="7" t="str">
        <x:v>60–200</x:v>
      </x:c>
      <x:c r="H280" s="7" t="str">
        <x:v>配料估算</x:v>
      </x:c>
      <x:c r="I280" s="7" t="str">
        <x:v>西柚特调</x:v>
      </x:c>
      <x:c r="J280" s="12" t="str">
        <x:v>待核实</x:v>
      </x:c>
      <x:c r="K280" s="12" t="str"/>
      <x:c r="L280" s="7" t="str">
        <x:v>https://www.mstand.cn/productinfo/747742.html</x:v>
      </x:c>
      <x:c r="M280" s="7" t="str">
        <x:v>官方产品介绍仅证明名称与原料；西柚汁/果肉约50–90 kcal，糖浆0–25 g碳水0–100 kcal。</x:v>
      </x:c>
      <x:c r="N280" s="7" t="str">
        <x:v>待核实当前在售、杯型、糖度和热量；估算份量不是品牌配方。</x:v>
      </x:c>
      <x:c r="O280" s="7" t="str">
        <x:v>2026-10-04</x:v>
      </x:c>
    </x:row>
    <x:row r="281" ht="46" customHeight="1">
      <x:c r="A281" s="9" t="str">
        <x:v>D280</x:v>
      </x:c>
      <x:c r="B281" s="9" t="str">
        <x:v>M Stand</x:v>
      </x:c>
      <x:c r="C281" s="9" t="str">
        <x:v>燕麦曲奇拿铁</x:v>
      </x:c>
      <x:c r="D281" s="9" t="str">
        <x:v>未注明</x:v>
      </x:c>
      <x:c r="E281" s="9" t="str">
        <x:v>未注明</x:v>
      </x:c>
      <x:c r="F281" s="11" t="n">
        <x:v>400</x:v>
      </x:c>
      <x:c r="G281" s="9" t="str">
        <x:v>280–560</x:v>
      </x:c>
      <x:c r="H281" s="9" t="str">
        <x:v>配料估算</x:v>
      </x:c>
      <x:c r="I281" s="9" t="str">
        <x:v>可食曲奇杯、巧克力涂层</x:v>
      </x:c>
      <x:c r="J281" s="12" t="str">
        <x:v>待核实</x:v>
      </x:c>
      <x:c r="K281" s="12" t="str"/>
      <x:c r="L281" s="9" t="str">
        <x:v>https://www.mstand.cn/productinfo/747751.html</x:v>
      </x:c>
      <x:c r="M281" s="9" t="str">
        <x:v>官方产品介绍仅证明名称与原料；拿铁100–180 kcal，加可食曲奇杯40–70 g约450–500 kcal/100 g；含巧克力涂层。</x:v>
      </x:c>
      <x:c r="N281" s="9" t="str">
        <x:v>待核实当前在售、杯型、糖度和热量；估算份量不是品牌配方。</x:v>
      </x:c>
      <x:c r="O281" s="9" t="str">
        <x:v>2026-10-04</x:v>
      </x:c>
    </x:row>
    <x:row r="282" ht="46" customHeight="1">
      <x:c r="A282" s="7" t="str">
        <x:v>D281</x:v>
      </x:c>
      <x:c r="B282" s="7" t="str">
        <x:v>COSTA 咖世家</x:v>
      </x:c>
      <x:c r="C282" s="7" t="str">
        <x:v>美式咖啡</x:v>
      </x:c>
      <x:c r="D282" s="7" t="str">
        <x:v>未注明</x:v>
      </x:c>
      <x:c r="E282" s="7" t="str">
        <x:v>未注明</x:v>
      </x:c>
      <x:c r="F282" s="10" t="n">
        <x:v>0</x:v>
      </x:c>
      <x:c r="G282" s="7" t="str">
        <x:v>0–15</x:v>
      </x:c>
      <x:c r="H282" s="7" t="str">
        <x:v>第三方参考</x:v>
      </x:c>
      <x:c r="I282" s="7" t="str">
        <x:v>无额外小料；乳基底已计入</x:v>
      </x:c>
      <x:c r="J282" s="12" t="str">
        <x:v>待核实</x:v>
      </x:c>
      <x:c r="K282" s="12" t="str"/>
      <x:c r="L282" s="7" t="str">
        <x:v>https://www.nckfhsm.com/brands/costa/menu/available</x:v>
      </x:c>
      <x:c r="M282" s="7" t="str">
        <x:v>第三方菜单列0 kcal；不加奶糖。</x:v>
      </x:c>
      <x:c r="N282" s="7" t="str">
        <x:v>待核实当前在售、杯型、糖度和热量；估算份量不是品牌配方。</x:v>
      </x:c>
      <x:c r="O282" s="7" t="str">
        <x:v>2026-10-04</x:v>
      </x:c>
    </x:row>
    <x:row r="283" ht="46" customHeight="1">
      <x:c r="A283" s="9" t="str">
        <x:v>D282</x:v>
      </x:c>
      <x:c r="B283" s="9" t="str">
        <x:v>COSTA 咖世家</x:v>
      </x:c>
      <x:c r="C283" s="9" t="str">
        <x:v>丝慕白</x:v>
      </x:c>
      <x:c r="D283" s="9" t="str">
        <x:v>未注明</x:v>
      </x:c>
      <x:c r="E283" s="9" t="str">
        <x:v>未注明</x:v>
      </x:c>
      <x:c r="F283" s="11" t="n">
        <x:v>140</x:v>
      </x:c>
      <x:c r="G283" s="9" t="str">
        <x:v>90–210</x:v>
      </x:c>
      <x:c r="H283" s="9" t="str">
        <x:v>配料估算</x:v>
      </x:c>
      <x:c r="I283" s="9" t="str">
        <x:v>无额外小料；乳基底已计入</x:v>
      </x:c>
      <x:c r="J283" s="12" t="str">
        <x:v>待核实</x:v>
      </x:c>
      <x:c r="K283" s="12" t="str"/>
      <x:c r="L283" s="9" t="str">
        <x:v>https://www.nckfhsm.com/brands/costa/menu/available</x:v>
      </x:c>
      <x:c r="M283" s="9" t="str">
        <x:v>菜单仅证明名称；奶150–250 ml约90–155 kcal加浓缩。</x:v>
      </x:c>
      <x:c r="N283" s="9" t="str">
        <x:v>待核实当前在售、杯型、糖度和热量；估算份量不是品牌配方。</x:v>
      </x:c>
      <x:c r="O283" s="9" t="str">
        <x:v>2026-10-04</x:v>
      </x:c>
    </x:row>
    <x:row r="284" ht="46" customHeight="1">
      <x:c r="A284" s="7" t="str">
        <x:v>D283</x:v>
      </x:c>
      <x:c r="B284" s="7" t="str">
        <x:v>COSTA 咖世家</x:v>
      </x:c>
      <x:c r="C284" s="7" t="str">
        <x:v>卡布奇诺</x:v>
      </x:c>
      <x:c r="D284" s="7" t="str">
        <x:v>未注明</x:v>
      </x:c>
      <x:c r="E284" s="7" t="str">
        <x:v>未注明</x:v>
      </x:c>
      <x:c r="F284" s="10" t="n">
        <x:v>160</x:v>
      </x:c>
      <x:c r="G284" s="7" t="str">
        <x:v>100–240</x:v>
      </x:c>
      <x:c r="H284" s="7" t="str">
        <x:v>配料估算</x:v>
      </x:c>
      <x:c r="I284" s="7" t="str">
        <x:v>无额外小料；乳基底已计入</x:v>
      </x:c>
      <x:c r="J284" s="12" t="str">
        <x:v>待核实</x:v>
      </x:c>
      <x:c r="K284" s="12" t="str"/>
      <x:c r="L284" s="7" t="str">
        <x:v>https://www.nckfhsm.com/brands/costa/menu/available</x:v>
      </x:c>
      <x:c r="M284" s="7" t="str">
        <x:v>菜单仅证明名称；奶170–300 ml约105–185 kcal加浓缩。</x:v>
      </x:c>
      <x:c r="N284" s="7" t="str">
        <x:v>待核实当前在售、杯型、糖度和热量；估算份量不是品牌配方。</x:v>
      </x:c>
      <x:c r="O284" s="7" t="str">
        <x:v>2026-10-04</x:v>
      </x:c>
    </x:row>
    <x:row r="285" ht="46" customHeight="1">
      <x:c r="A285" s="9" t="str">
        <x:v>D284</x:v>
      </x:c>
      <x:c r="B285" s="9" t="str">
        <x:v>COSTA 咖世家</x:v>
      </x:c>
      <x:c r="C285" s="9" t="str">
        <x:v>摩卡</x:v>
      </x:c>
      <x:c r="D285" s="9" t="str">
        <x:v>未注明</x:v>
      </x:c>
      <x:c r="E285" s="9" t="str">
        <x:v>未注明</x:v>
      </x:c>
      <x:c r="F285" s="11" t="n">
        <x:v>300</x:v>
      </x:c>
      <x:c r="G285" s="9" t="str">
        <x:v>200–430</x:v>
      </x:c>
      <x:c r="H285" s="9" t="str">
        <x:v>配料估算</x:v>
      </x:c>
      <x:c r="I285" s="9" t="str">
        <x:v>巧克力配料；奶油是否默认待核实</x:v>
      </x:c>
      <x:c r="J285" s="12" t="str">
        <x:v>待核实</x:v>
      </x:c>
      <x:c r="K285" s="12" t="str"/>
      <x:c r="L285" s="9" t="str">
        <x:v>https://www.nckfhsm.com/brands/costa/menu/available?page=4</x:v>
      </x:c>
      <x:c r="M285" s="9" t="str">
        <x:v>菜单仅证明名称；奶200–300 ml约120–185 kcal，巧克力酱和可能奶油约80–200 kcal。</x:v>
      </x:c>
      <x:c r="N285" s="9" t="str">
        <x:v>待核实当前在售、杯型、糖度和热量；估算份量不是品牌配方。</x:v>
      </x:c>
      <x:c r="O285" s="9" t="str">
        <x:v>2026-10-04</x:v>
      </x:c>
    </x:row>
    <x:row r="286" ht="46" customHeight="1">
      <x:c r="A286" s="7" t="str">
        <x:v>D285</x:v>
      </x:c>
      <x:c r="B286" s="7" t="str">
        <x:v>COSTA 咖世家</x:v>
      </x:c>
      <x:c r="C286" s="7" t="str">
        <x:v>燕麦卡布奇诺</x:v>
      </x:c>
      <x:c r="D286" s="7" t="str">
        <x:v>未注明</x:v>
      </x:c>
      <x:c r="E286" s="7" t="str">
        <x:v>未注明</x:v>
      </x:c>
      <x:c r="F286" s="10" t="n">
        <x:v>150</x:v>
      </x:c>
      <x:c r="G286" s="7" t="str">
        <x:v>90–240</x:v>
      </x:c>
      <x:c r="H286" s="7" t="str">
        <x:v>配料估算</x:v>
      </x:c>
      <x:c r="I286" s="7" t="str">
        <x:v>燕麦奶</x:v>
      </x:c>
      <x:c r="J286" s="12" t="str">
        <x:v>待核实</x:v>
      </x:c>
      <x:c r="K286" s="12" t="str"/>
      <x:c r="L286" s="7" t="str">
        <x:v>https://www.nckfhsm.com/brands/costa/menu/available?page=4</x:v>
      </x:c>
      <x:c r="M286" s="7" t="str">
        <x:v>菜单仅证明名称；燕麦奶170–300 ml约46–64 kcal/100 ml。</x:v>
      </x:c>
      <x:c r="N286" s="7" t="str">
        <x:v>待核实当前在售、杯型、糖度和热量；估算份量不是品牌配方。</x:v>
      </x:c>
      <x:c r="O286" s="7" t="str">
        <x:v>2026-10-04</x:v>
      </x:c>
    </x:row>
    <x:row r="287" ht="46" customHeight="1">
      <x:c r="A287" s="9" t="str">
        <x:v>D286</x:v>
      </x:c>
      <x:c r="B287" s="9" t="str">
        <x:v>COSTA 咖世家</x:v>
      </x:c>
      <x:c r="C287" s="9" t="str">
        <x:v>特浓拿铁</x:v>
      </x:c>
      <x:c r="D287" s="9" t="str">
        <x:v>未注明</x:v>
      </x:c>
      <x:c r="E287" s="9" t="str">
        <x:v>未注明</x:v>
      </x:c>
      <x:c r="F287" s="11" t="n">
        <x:v>180</x:v>
      </x:c>
      <x:c r="G287" s="9" t="str">
        <x:v>120–280</x:v>
      </x:c>
      <x:c r="H287" s="9" t="str">
        <x:v>配料估算</x:v>
      </x:c>
      <x:c r="I287" s="9" t="str">
        <x:v>无额外小料；乳基底已计入</x:v>
      </x:c>
      <x:c r="J287" s="12" t="str">
        <x:v>待核实</x:v>
      </x:c>
      <x:c r="K287" s="12" t="str"/>
      <x:c r="L287" s="9" t="str">
        <x:v>https://www.nckfhsm.com/brands/costa/menu/available?page=4</x:v>
      </x:c>
      <x:c r="M287" s="9" t="str">
        <x:v>菜单仅证明名称；奶200–350 ml约120–215 kcal加浓缩。</x:v>
      </x:c>
      <x:c r="N287" s="9" t="str">
        <x:v>待核实当前在售、杯型、糖度和热量；估算份量不是品牌配方。</x:v>
      </x:c>
      <x:c r="O287" s="9" t="str">
        <x:v>2026-10-04</x:v>
      </x:c>
    </x:row>
    <x:row r="288" ht="46" customHeight="1">
      <x:c r="A288" s="7" t="str">
        <x:v>D287</x:v>
      </x:c>
      <x:c r="B288" s="7" t="str">
        <x:v>COSTA 咖世家</x:v>
      </x:c>
      <x:c r="C288" s="7" t="str">
        <x:v>香草风味拿铁</x:v>
      </x:c>
      <x:c r="D288" s="7" t="str">
        <x:v>未注明</x:v>
      </x:c>
      <x:c r="E288" s="7" t="str">
        <x:v>未注明</x:v>
      </x:c>
      <x:c r="F288" s="10" t="n">
        <x:v>240</x:v>
      </x:c>
      <x:c r="G288" s="7" t="str">
        <x:v>170–350</x:v>
      </x:c>
      <x:c r="H288" s="7" t="str">
        <x:v>配料估算</x:v>
      </x:c>
      <x:c r="I288" s="7" t="str">
        <x:v>香草糖浆</x:v>
      </x:c>
      <x:c r="J288" s="12" t="str">
        <x:v>待核实</x:v>
      </x:c>
      <x:c r="K288" s="12" t="str"/>
      <x:c r="L288" s="7" t="str">
        <x:v>https://www.nckfhsm.com/brands/costa/menu/available?page=4</x:v>
      </x:c>
      <x:c r="M288" s="7" t="str">
        <x:v>菜单仅证明名称；奶200–300 ml约120–185 kcal，风味糖浆含糖15–30 g约60–120 kcal。</x:v>
      </x:c>
      <x:c r="N288" s="7" t="str">
        <x:v>待核实当前在售、杯型、糖度和热量；估算份量不是品牌配方。</x:v>
      </x:c>
      <x:c r="O288" s="7" t="str">
        <x:v>2026-10-04</x:v>
      </x:c>
    </x:row>
    <x:row r="289" ht="46" customHeight="1">
      <x:c r="A289" s="9" t="str">
        <x:v>D288</x:v>
      </x:c>
      <x:c r="B289" s="9" t="str">
        <x:v>COSTA 咖世家</x:v>
      </x:c>
      <x:c r="C289" s="9" t="str">
        <x:v>抹茶拿铁</x:v>
      </x:c>
      <x:c r="D289" s="9" t="str">
        <x:v>未注明</x:v>
      </x:c>
      <x:c r="E289" s="9" t="str">
        <x:v>未注明</x:v>
      </x:c>
      <x:c r="F289" s="11" t="n">
        <x:v>250</x:v>
      </x:c>
      <x:c r="G289" s="9" t="str">
        <x:v>160–380</x:v>
      </x:c>
      <x:c r="H289" s="9" t="str">
        <x:v>配料估算</x:v>
      </x:c>
      <x:c r="I289" s="9" t="str">
        <x:v>抹茶配料；不含咖啡</x:v>
      </x:c>
      <x:c r="J289" s="12" t="str">
        <x:v>待核实</x:v>
      </x:c>
      <x:c r="K289" s="12" t="str"/>
      <x:c r="L289" s="9" t="str">
        <x:v>https://www.nckfhsm.com/brands/costa/menu/available?page=5</x:v>
      </x:c>
      <x:c r="M289" s="9" t="str">
        <x:v>菜单仅证明名称；奶200–300 ml约120–185 kcal，含糖抹茶预拌料约40–150 kcal。</x:v>
      </x:c>
      <x:c r="N289" s="9" t="str">
        <x:v>待核实当前在售、杯型、糖度和热量；估算份量不是品牌配方。</x:v>
      </x:c>
      <x:c r="O289" s="9" t="str">
        <x:v>2026-10-04</x:v>
      </x:c>
    </x:row>
    <x:row r="290" ht="63" customHeight="1">
      <x:c r="A290" s="7" t="str">
        <x:v>D289</x:v>
      </x:c>
      <x:c r="B290" s="7" t="str">
        <x:v>太平洋咖啡 Pacific Coffee</x:v>
      </x:c>
      <x:c r="C290" s="7" t="str">
        <x:v>美式咖啡</x:v>
      </x:c>
      <x:c r="D290" s="7" t="str">
        <x:v>未注明；估算按约350 ml常规杯</x:v>
      </x:c>
      <x:c r="E290" s="7" t="str">
        <x:v>未注明</x:v>
      </x:c>
      <x:c r="F290" s="10" t="n">
        <x:v>5</x:v>
      </x:c>
      <x:c r="G290" s="7" t="str">
        <x:v>0–15</x:v>
      </x:c>
      <x:c r="H290" s="7" t="str">
        <x:v>配料估算</x:v>
      </x:c>
      <x:c r="I290" s="7" t="str">
        <x:v>无额外小料；乳基底已计入</x:v>
      </x:c>
      <x:c r="J290" s="12" t="str">
        <x:v>待核实</x:v>
      </x:c>
      <x:c r="K290" s="12" t="str"/>
      <x:c r="L290" s="7" t="str">
        <x:v>https://www.pacificcoffee.com/tc/drink/index.html</x:v>
      </x:c>
      <x:c r="M290" s="7" t="str">
        <x:v>香港官方菜单仅证实名称；不加奶糖黑咖啡。</x:v>
      </x:c>
      <x:c r="N290" s="7" t="str">
        <x:v>香港菜单，尚未核实大陆在售名称/份量；仅作候选，不应直接当大陆品牌官方热量。</x:v>
      </x:c>
      <x:c r="O290" s="7" t="str">
        <x:v>2026-10-04</x:v>
      </x:c>
    </x:row>
    <x:row r="291" ht="63" customHeight="1">
      <x:c r="A291" s="9" t="str">
        <x:v>D290</x:v>
      </x:c>
      <x:c r="B291" s="9" t="str">
        <x:v>太平洋咖啡 Pacific Coffee</x:v>
      </x:c>
      <x:c r="C291" s="9" t="str">
        <x:v>鲜奶咖啡/拿铁</x:v>
      </x:c>
      <x:c r="D291" s="9" t="str">
        <x:v>未注明；估算按约350 ml常规杯</x:v>
      </x:c>
      <x:c r="E291" s="9" t="str">
        <x:v>未注明</x:v>
      </x:c>
      <x:c r="F291" s="11" t="n">
        <x:v>180</x:v>
      </x:c>
      <x:c r="G291" s="9" t="str">
        <x:v>120–270</x:v>
      </x:c>
      <x:c r="H291" s="9" t="str">
        <x:v>配料估算</x:v>
      </x:c>
      <x:c r="I291" s="9" t="str">
        <x:v>无额外小料；乳基底已计入</x:v>
      </x:c>
      <x:c r="J291" s="12" t="str">
        <x:v>待核实</x:v>
      </x:c>
      <x:c r="K291" s="12" t="str"/>
      <x:c r="L291" s="9" t="str">
        <x:v>https://www.pacificcoffee.com/tc/drink/index.html</x:v>
      </x:c>
      <x:c r="M291" s="9" t="str">
        <x:v>香港官方菜单仅证实名称；奶200–350 ml约120–215 kcal加浓缩。</x:v>
      </x:c>
      <x:c r="N291" s="9" t="str">
        <x:v>香港菜单，尚未核实大陆在售名称/份量；仅作候选，不应直接当大陆品牌官方热量。</x:v>
      </x:c>
      <x:c r="O291" s="9" t="str">
        <x:v>2026-10-04</x:v>
      </x:c>
    </x:row>
    <x:row r="292" ht="63" customHeight="1">
      <x:c r="A292" s="7" t="str">
        <x:v>D291</x:v>
      </x:c>
      <x:c r="B292" s="7" t="str">
        <x:v>太平洋咖啡 Pacific Coffee</x:v>
      </x:c>
      <x:c r="C292" s="7" t="str">
        <x:v>特浓鲜奶咖啡/澳白</x:v>
      </x:c>
      <x:c r="D292" s="7" t="str">
        <x:v>未注明；估算按约350 ml常规杯</x:v>
      </x:c>
      <x:c r="E292" s="7" t="str">
        <x:v>未注明</x:v>
      </x:c>
      <x:c r="F292" s="10" t="n">
        <x:v>140</x:v>
      </x:c>
      <x:c r="G292" s="7" t="str">
        <x:v>90–220</x:v>
      </x:c>
      <x:c r="H292" s="7" t="str">
        <x:v>配料估算</x:v>
      </x:c>
      <x:c r="I292" s="7" t="str">
        <x:v>无额外小料；乳基底已计入</x:v>
      </x:c>
      <x:c r="J292" s="12" t="str">
        <x:v>待核实</x:v>
      </x:c>
      <x:c r="K292" s="12" t="str"/>
      <x:c r="L292" s="7" t="str">
        <x:v>https://www.pacificcoffee.com/tc/drink/index.html</x:v>
      </x:c>
      <x:c r="M292" s="7" t="str">
        <x:v>香港官方菜单仅证实名称；奶150–250 ml约90–155 kcal加浓缩。</x:v>
      </x:c>
      <x:c r="N292" s="7" t="str">
        <x:v>香港菜单，尚未核实大陆在售名称/份量；仅作候选，不应直接当大陆品牌官方热量。</x:v>
      </x:c>
      <x:c r="O292" s="7" t="str">
        <x:v>2026-10-04</x:v>
      </x:c>
    </x:row>
    <x:row r="293" ht="63" customHeight="1">
      <x:c r="A293" s="9" t="str">
        <x:v>D292</x:v>
      </x:c>
      <x:c r="B293" s="9" t="str">
        <x:v>太平洋咖啡 Pacific Coffee</x:v>
      </x:c>
      <x:c r="C293" s="9" t="str">
        <x:v>焦糖鲜奶咖啡</x:v>
      </x:c>
      <x:c r="D293" s="9" t="str">
        <x:v>未注明；估算按约350 ml常规杯</x:v>
      </x:c>
      <x:c r="E293" s="9" t="str">
        <x:v>未注明</x:v>
      </x:c>
      <x:c r="F293" s="11" t="n">
        <x:v>250</x:v>
      </x:c>
      <x:c r="G293" s="9" t="str">
        <x:v>170–370</x:v>
      </x:c>
      <x:c r="H293" s="9" t="str">
        <x:v>配料估算</x:v>
      </x:c>
      <x:c r="I293" s="9" t="str">
        <x:v>焦糖糖浆</x:v>
      </x:c>
      <x:c r="J293" s="12" t="str">
        <x:v>待核实</x:v>
      </x:c>
      <x:c r="K293" s="12" t="str"/>
      <x:c r="L293" s="9" t="str">
        <x:v>https://www.pacificcoffee.com/tc/drink/index.html</x:v>
      </x:c>
      <x:c r="M293" s="9" t="str">
        <x:v>香港官方菜单仅证实名称；奶200–300 ml约120–185 kcal，糖浆含糖15–35 g约60–140 kcal。</x:v>
      </x:c>
      <x:c r="N293" s="9" t="str">
        <x:v>香港菜单，尚未核实大陆在售名称/份量；仅作候选，不应直接当大陆品牌官方热量。</x:v>
      </x:c>
      <x:c r="O293" s="9" t="str">
        <x:v>2026-10-04</x:v>
      </x:c>
    </x:row>
    <x:row r="294" ht="63" customHeight="1">
      <x:c r="A294" s="7" t="str">
        <x:v>D293</x:v>
      </x:c>
      <x:c r="B294" s="7" t="str">
        <x:v>太平洋咖啡 Pacific Coffee</x:v>
      </x:c>
      <x:c r="C294" s="7" t="str">
        <x:v>朱古力鲜奶咖啡/摩卡</x:v>
      </x:c>
      <x:c r="D294" s="7" t="str">
        <x:v>未注明；估算按约350 ml常规杯</x:v>
      </x:c>
      <x:c r="E294" s="7" t="str">
        <x:v>未注明</x:v>
      </x:c>
      <x:c r="F294" s="10" t="n">
        <x:v>300</x:v>
      </x:c>
      <x:c r="G294" s="7" t="str">
        <x:v>200–440</x:v>
      </x:c>
      <x:c r="H294" s="7" t="str">
        <x:v>配料估算</x:v>
      </x:c>
      <x:c r="I294" s="7" t="str">
        <x:v>巧克力配料</x:v>
      </x:c>
      <x:c r="J294" s="12" t="str">
        <x:v>待核实</x:v>
      </x:c>
      <x:c r="K294" s="12" t="str"/>
      <x:c r="L294" s="7" t="str">
        <x:v>https://www.pacificcoffee.com/tc/drink/index.html</x:v>
      </x:c>
      <x:c r="M294" s="7" t="str">
        <x:v>香港官方菜单仅证实名称；奶200–300 ml约120–185 kcal，加巧克力酱80–180 kcal，奶油待核实。</x:v>
      </x:c>
      <x:c r="N294" s="7" t="str">
        <x:v>香港菜单，尚未核实大陆在售名称/份量；仅作候选，不应直接当大陆品牌官方热量。</x:v>
      </x:c>
      <x:c r="O294" s="7" t="str">
        <x:v>2026-10-04</x:v>
      </x:c>
    </x:row>
    <x:row r="295" ht="63" customHeight="1">
      <x:c r="A295" s="9" t="str">
        <x:v>D294</x:v>
      </x:c>
      <x:c r="B295" s="9" t="str">
        <x:v>太平洋咖啡 Pacific Coffee</x:v>
      </x:c>
      <x:c r="C295" s="9" t="str">
        <x:v>朱古力燕麦奶咖啡</x:v>
      </x:c>
      <x:c r="D295" s="9" t="str">
        <x:v>未注明；估算按约350 ml常规杯</x:v>
      </x:c>
      <x:c r="E295" s="9" t="str">
        <x:v>未注明</x:v>
      </x:c>
      <x:c r="F295" s="11" t="n">
        <x:v>280</x:v>
      </x:c>
      <x:c r="G295" s="9" t="str">
        <x:v>180–420</x:v>
      </x:c>
      <x:c r="H295" s="9" t="str">
        <x:v>配料估算</x:v>
      </x:c>
      <x:c r="I295" s="9" t="str">
        <x:v>燕麦奶、巧克力配料</x:v>
      </x:c>
      <x:c r="J295" s="12" t="str">
        <x:v>待核实</x:v>
      </x:c>
      <x:c r="K295" s="12" t="str"/>
      <x:c r="L295" s="9" t="str">
        <x:v>https://www.pacificcoffee.com/tc/drink/index.html</x:v>
      </x:c>
      <x:c r="M295" s="9" t="str">
        <x:v>香港官方菜单仅证实名称；燕麦奶200–300 ml约90–195 kcal，加巧克力酱80–180 kcal。</x:v>
      </x:c>
      <x:c r="N295" s="9" t="str">
        <x:v>香港菜单，尚未核实大陆在售名称/份量；仅作候选，不应直接当大陆品牌官方热量。</x:v>
      </x:c>
      <x:c r="O295" s="9" t="str">
        <x:v>2026-10-04</x:v>
      </x:c>
    </x:row>
    <x:row r="296" ht="63" customHeight="1">
      <x:c r="A296" s="7" t="str">
        <x:v>D295</x:v>
      </x:c>
      <x:c r="B296" s="7" t="str">
        <x:v>太平洋咖啡 Pacific Coffee</x:v>
      </x:c>
      <x:c r="C296" s="7" t="str">
        <x:v>特选抹茶鲜奶</x:v>
      </x:c>
      <x:c r="D296" s="7" t="str">
        <x:v>未注明；估算按约350 ml常规杯</x:v>
      </x:c>
      <x:c r="E296" s="7" t="str">
        <x:v>未注明</x:v>
      </x:c>
      <x:c r="F296" s="10" t="n">
        <x:v>260</x:v>
      </x:c>
      <x:c r="G296" s="7" t="str">
        <x:v>170–390</x:v>
      </x:c>
      <x:c r="H296" s="7" t="str">
        <x:v>配料估算</x:v>
      </x:c>
      <x:c r="I296" s="7" t="str">
        <x:v>抹茶配料；不含咖啡</x:v>
      </x:c>
      <x:c r="J296" s="12" t="str">
        <x:v>待核实</x:v>
      </x:c>
      <x:c r="K296" s="12" t="str"/>
      <x:c r="L296" s="7" t="str">
        <x:v>https://www.pacificcoffee.com/tc/drink/index.html</x:v>
      </x:c>
      <x:c r="M296" s="7" t="str">
        <x:v>香港官方菜单仅证实名称；奶200–300 ml约120–185 kcal，加含糖抹茶预拌料50–170 kcal。</x:v>
      </x:c>
      <x:c r="N296" s="7" t="str">
        <x:v>香港菜单，尚未核实大陆在售名称/份量；仅作候选，不应直接当大陆品牌官方热量。</x:v>
      </x:c>
      <x:c r="O296" s="7" t="str">
        <x:v>2026-10-04</x:v>
      </x:c>
    </x:row>
    <x:row r="297" ht="63" customHeight="1">
      <x:c r="A297" s="9" t="str">
        <x:v>D296</x:v>
      </x:c>
      <x:c r="B297" s="9" t="str">
        <x:v>太平洋咖啡 Pacific Coffee</x:v>
      </x:c>
      <x:c r="C297" s="9" t="str">
        <x:v>特浓碎朱古力其乐冰</x:v>
      </x:c>
      <x:c r="D297" s="9" t="str">
        <x:v>未注明；估算按约350 ml常规杯</x:v>
      </x:c>
      <x:c r="E297" s="9" t="str">
        <x:v>未注明</x:v>
      </x:c>
      <x:c r="F297" s="11" t="n">
        <x:v>400</x:v>
      </x:c>
      <x:c r="G297" s="9" t="str">
        <x:v>280–600</x:v>
      </x:c>
      <x:c r="H297" s="9" t="str">
        <x:v>配料估算</x:v>
      </x:c>
      <x:c r="I297" s="9" t="str">
        <x:v>巧克力碎/酱；奶油待核实</x:v>
      </x:c>
      <x:c r="J297" s="12" t="str">
        <x:v>待核实</x:v>
      </x:c>
      <x:c r="K297" s="12" t="str"/>
      <x:c r="L297" s="9" t="str">
        <x:v>https://www.pacificcoffee.com/tc/drink/index.html</x:v>
      </x:c>
      <x:c r="M297" s="9" t="str">
        <x:v>香港官方菜单仅证实名称；冰沙乳基底100–180 kcal，巧克力碎/酱、糖和可能奶油约180–350 kcal。</x:v>
      </x:c>
      <x:c r="N297" s="9" t="str">
        <x:v>香港菜单，尚未核实大陆在售名称/份量；仅作候选，不应直接当大陆品牌官方热量。</x:v>
      </x:c>
      <x:c r="O297" s="9" t="str">
        <x:v>2026-10-04</x:v>
      </x:c>
    </x:row>
    <x:row r="298" ht="46" customHeight="1">
      <x:c r="A298" s="7" t="str">
        <x:v>D297</x:v>
      </x:c>
      <x:c r="B298" s="7" t="str">
        <x:v>LAVAZZA 拉瓦萨</x:v>
      </x:c>
      <x:c r="C298" s="7" t="str">
        <x:v>美式</x:v>
      </x:c>
      <x:c r="D298" s="7" t="str">
        <x:v>320–420 ml</x:v>
      </x:c>
      <x:c r="E298" s="7" t="str">
        <x:v>未注明</x:v>
      </x:c>
      <x:c r="F298" s="10" t="n">
        <x:v>0</x:v>
      </x:c>
      <x:c r="G298" s="7" t="str">
        <x:v>0–15</x:v>
      </x:c>
      <x:c r="H298" s="7" t="str">
        <x:v>第三方参考</x:v>
      </x:c>
      <x:c r="I298" s="7" t="str">
        <x:v>无额外小料；乳基底已计入</x:v>
      </x:c>
      <x:c r="J298" s="12" t="str">
        <x:v>待核实</x:v>
      </x:c>
      <x:c r="K298" s="12" t="str"/>
      <x:c r="L298" s="7" t="str">
        <x:v>https://www.nckfhsm.com/brands/lavazza/menu/available</x:v>
      </x:c>
      <x:c r="M298" s="7" t="str">
        <x:v>第三方菜单列0 kcal；不加奶糖。</x:v>
      </x:c>
      <x:c r="N298" s="7" t="str">
        <x:v>待核实当前在售、杯型、糖度和热量；估算份量不是品牌配方。</x:v>
      </x:c>
      <x:c r="O298" s="7" t="str">
        <x:v>2026-10-04</x:v>
      </x:c>
    </x:row>
    <x:row r="299" ht="46" customHeight="1">
      <x:c r="A299" s="9" t="str">
        <x:v>D298</x:v>
      </x:c>
      <x:c r="B299" s="9" t="str">
        <x:v>LAVAZZA 拉瓦萨</x:v>
      </x:c>
      <x:c r="C299" s="9" t="str">
        <x:v>鲜奶拿铁</x:v>
      </x:c>
      <x:c r="D299" s="9" t="str">
        <x:v>320–420 ml</x:v>
      </x:c>
      <x:c r="E299" s="9" t="str">
        <x:v>未注明</x:v>
      </x:c>
      <x:c r="F299" s="11" t="n">
        <x:v>180</x:v>
      </x:c>
      <x:c r="G299" s="9" t="str">
        <x:v>120–270</x:v>
      </x:c>
      <x:c r="H299" s="9" t="str">
        <x:v>配料估算</x:v>
      </x:c>
      <x:c r="I299" s="9" t="str">
        <x:v>无额外小料；乳基底已计入</x:v>
      </x:c>
      <x:c r="J299" s="12" t="str">
        <x:v>待核实</x:v>
      </x:c>
      <x:c r="K299" s="12" t="str"/>
      <x:c r="L299" s="9" t="str">
        <x:v>https://www.nckfhsm.com/brands/lavazza/menu/available</x:v>
      </x:c>
      <x:c r="M299" s="9" t="str">
        <x:v>菜单仅证明名称/容量；假设奶200–350 ml约120–215 kcal。</x:v>
      </x:c>
      <x:c r="N299" s="9" t="str">
        <x:v>待核实当前在售、杯型、糖度和热量；估算份量不是品牌配方。</x:v>
      </x:c>
      <x:c r="O299" s="9" t="str">
        <x:v>2026-10-04</x:v>
      </x:c>
    </x:row>
    <x:row r="300" ht="46" customHeight="1">
      <x:c r="A300" s="7" t="str">
        <x:v>D299</x:v>
      </x:c>
      <x:c r="B300" s="7" t="str">
        <x:v>LAVAZZA 拉瓦萨</x:v>
      </x:c>
      <x:c r="C300" s="7" t="str">
        <x:v>燕麦拿铁</x:v>
      </x:c>
      <x:c r="D300" s="7" t="str">
        <x:v>320–420 ml</x:v>
      </x:c>
      <x:c r="E300" s="7" t="str">
        <x:v>未注明</x:v>
      </x:c>
      <x:c r="F300" s="10" t="n">
        <x:v>170</x:v>
      </x:c>
      <x:c r="G300" s="7" t="str">
        <x:v>110–260</x:v>
      </x:c>
      <x:c r="H300" s="7" t="str">
        <x:v>配料估算</x:v>
      </x:c>
      <x:c r="I300" s="7" t="str">
        <x:v>燕麦奶</x:v>
      </x:c>
      <x:c r="J300" s="12" t="str">
        <x:v>待核实</x:v>
      </x:c>
      <x:c r="K300" s="12" t="str"/>
      <x:c r="L300" s="7" t="str">
        <x:v>https://www.nckfhsm.com/brands/lavazza/menu/available</x:v>
      </x:c>
      <x:c r="M300" s="7" t="str">
        <x:v>菜单仅证明名称/容量；燕麦奶200–350 ml约46–64 kcal/100 ml。</x:v>
      </x:c>
      <x:c r="N300" s="7" t="str">
        <x:v>待核实当前在售、杯型、糖度和热量；估算份量不是品牌配方。</x:v>
      </x:c>
      <x:c r="O300" s="7" t="str">
        <x:v>2026-10-04</x:v>
      </x:c>
    </x:row>
    <x:row r="301" ht="46" customHeight="1">
      <x:c r="A301" s="9" t="str">
        <x:v>D300</x:v>
      </x:c>
      <x:c r="B301" s="9" t="str">
        <x:v>LAVAZZA 拉瓦萨</x:v>
      </x:c>
      <x:c r="C301" s="9" t="str">
        <x:v>卡布奇诺</x:v>
      </x:c>
      <x:c r="D301" s="9" t="str">
        <x:v>320–420 ml</x:v>
      </x:c>
      <x:c r="E301" s="9" t="str">
        <x:v>未注明</x:v>
      </x:c>
      <x:c r="F301" s="11" t="n">
        <x:v>150</x:v>
      </x:c>
      <x:c r="G301" s="9" t="str">
        <x:v>100–230</x:v>
      </x:c>
      <x:c r="H301" s="9" t="str">
        <x:v>配料估算</x:v>
      </x:c>
      <x:c r="I301" s="9" t="str">
        <x:v>无额外小料；乳基底已计入</x:v>
      </x:c>
      <x:c r="J301" s="12" t="str">
        <x:v>待核实</x:v>
      </x:c>
      <x:c r="K301" s="12" t="str"/>
      <x:c r="L301" s="9" t="str">
        <x:v>https://www.nckfhsm.com/brands/lavazza/menu/available</x:v>
      </x:c>
      <x:c r="M301" s="9" t="str">
        <x:v>菜单仅证明名称/容量；奶170–280 ml约105–170 kcal。</x:v>
      </x:c>
      <x:c r="N301" s="9" t="str">
        <x:v>待核实当前在售、杯型、糖度和热量；估算份量不是品牌配方。</x:v>
      </x:c>
      <x:c r="O301" s="9" t="str">
        <x:v>2026-10-04</x:v>
      </x:c>
    </x:row>
    <x:row r="302" ht="46" customHeight="1">
      <x:c r="A302" s="7" t="str">
        <x:v>D301</x:v>
      </x:c>
      <x:c r="B302" s="7" t="str">
        <x:v>LAVAZZA 拉瓦萨</x:v>
      </x:c>
      <x:c r="C302" s="7" t="str">
        <x:v>水牛乳清甜拿铁</x:v>
      </x:c>
      <x:c r="D302" s="7" t="str">
        <x:v>320–420 ml</x:v>
      </x:c>
      <x:c r="E302" s="7" t="str">
        <x:v>未注明</x:v>
      </x:c>
      <x:c r="F302" s="10" t="n">
        <x:v>240</x:v>
      </x:c>
      <x:c r="G302" s="7" t="str">
        <x:v>160–350</x:v>
      </x:c>
      <x:c r="H302" s="7" t="str">
        <x:v>配料估算</x:v>
      </x:c>
      <x:c r="I302" s="7" t="str">
        <x:v>水牛乳</x:v>
      </x:c>
      <x:c r="J302" s="12" t="str">
        <x:v>待核实</x:v>
      </x:c>
      <x:c r="K302" s="12" t="str"/>
      <x:c r="L302" s="7" t="str">
        <x:v>https://www.nckfhsm.com/brands/lavazza/menu/available</x:v>
      </x:c>
      <x:c r="M302" s="7" t="str">
        <x:v>菜单仅证明名称/容量；水牛乳200–300 ml假设75–100 kcal/100 ml；甜味剂未知。</x:v>
      </x:c>
      <x:c r="N302" s="7" t="str">
        <x:v>待核实当前在售、杯型、糖度和热量；估算份量不是品牌配方。</x:v>
      </x:c>
      <x:c r="O302" s="7" t="str">
        <x:v>2026-10-04</x:v>
      </x:c>
    </x:row>
    <x:row r="303" ht="46" customHeight="1">
      <x:c r="A303" s="9" t="str">
        <x:v>D302</x:v>
      </x:c>
      <x:c r="B303" s="9" t="str">
        <x:v>LAVAZZA 拉瓦萨</x:v>
      </x:c>
      <x:c r="C303" s="9" t="str">
        <x:v>水牛乳Dirty</x:v>
      </x:c>
      <x:c r="D303" s="9" t="str">
        <x:v>200 ml</x:v>
      </x:c>
      <x:c r="E303" s="9" t="str">
        <x:v>未注明</x:v>
      </x:c>
      <x:c r="F303" s="11" t="n">
        <x:v>180</x:v>
      </x:c>
      <x:c r="G303" s="9" t="str">
        <x:v>130–260</x:v>
      </x:c>
      <x:c r="H303" s="9" t="str">
        <x:v>配料估算</x:v>
      </x:c>
      <x:c r="I303" s="9" t="str">
        <x:v>水牛乳</x:v>
      </x:c>
      <x:c r="J303" s="12" t="str">
        <x:v>待核实</x:v>
      </x:c>
      <x:c r="K303" s="12" t="str"/>
      <x:c r="L303" s="9" t="str">
        <x:v>https://www.nckfhsm.com/brands/lavazza/menu/available</x:v>
      </x:c>
      <x:c r="M303" s="9" t="str">
        <x:v>菜单仅证明名称/容量；水牛乳/浓乳150–180 ml假设75–120 kcal/100 ml。</x:v>
      </x:c>
      <x:c r="N303" s="9" t="str">
        <x:v>待核实当前在售、杯型、糖度和热量；估算份量不是品牌配方。</x:v>
      </x:c>
      <x:c r="O303" s="9" t="str">
        <x:v>2026-10-04</x:v>
      </x:c>
    </x:row>
    <x:row r="304" ht="46" customHeight="1">
      <x:c r="A304" s="7" t="str">
        <x:v>D303</x:v>
      </x:c>
      <x:c r="B304" s="7" t="str">
        <x:v>LAVAZZA 拉瓦萨</x:v>
      </x:c>
      <x:c r="C304" s="7" t="str">
        <x:v>海盐橙花味水牛乳拿铁</x:v>
      </x:c>
      <x:c r="D304" s="7" t="str">
        <x:v>320–420 ml</x:v>
      </x:c>
      <x:c r="E304" s="7" t="str">
        <x:v>未注明</x:v>
      </x:c>
      <x:c r="F304" s="10" t="n">
        <x:v>290</x:v>
      </x:c>
      <x:c r="G304" s="7" t="str">
        <x:v>190–420</x:v>
      </x:c>
      <x:c r="H304" s="7" t="str">
        <x:v>配料估算</x:v>
      </x:c>
      <x:c r="I304" s="7" t="str">
        <x:v>水牛乳、橙花风味配料</x:v>
      </x:c>
      <x:c r="J304" s="12" t="str">
        <x:v>待核实</x:v>
      </x:c>
      <x:c r="K304" s="12" t="str"/>
      <x:c r="L304" s="7" t="str">
        <x:v>https://www.nckfhsm.com/brands/lavazza/menu/available</x:v>
      </x:c>
      <x:c r="M304" s="7" t="str">
        <x:v>菜单仅证明名称/容量；水牛乳拿铁160–350 kcal，另风味糖浆20–80 kcal。</x:v>
      </x:c>
      <x:c r="N304" s="7" t="str">
        <x:v>待核实当前在售、杯型、糖度和热量；估算份量不是品牌配方。</x:v>
      </x:c>
      <x:c r="O304" s="7" t="str">
        <x:v>2026-10-04</x:v>
      </x:c>
    </x:row>
    <x:row r="305" ht="46" customHeight="1">
      <x:c r="A305" s="9" t="str">
        <x:v>D304</x:v>
      </x:c>
      <x:c r="B305" s="9" t="str">
        <x:v>LAVAZZA 拉瓦萨</x:v>
      </x:c>
      <x:c r="C305" s="9" t="str">
        <x:v>径山抹茶水牛乳拿铁</x:v>
      </x:c>
      <x:c r="D305" s="9" t="str">
        <x:v>320 ml</x:v>
      </x:c>
      <x:c r="E305" s="9" t="str">
        <x:v>未注明</x:v>
      </x:c>
      <x:c r="F305" s="11" t="n">
        <x:v>290</x:v>
      </x:c>
      <x:c r="G305" s="9" t="str">
        <x:v>190–420</x:v>
      </x:c>
      <x:c r="H305" s="9" t="str">
        <x:v>配料估算</x:v>
      </x:c>
      <x:c r="I305" s="9" t="str">
        <x:v>水牛乳、抹茶配料</x:v>
      </x:c>
      <x:c r="J305" s="12" t="str">
        <x:v>待核实</x:v>
      </x:c>
      <x:c r="K305" s="12" t="str"/>
      <x:c r="L305" s="9" t="str">
        <x:v>https://www.nckfhsm.com/brands/lavazza/menu/available</x:v>
      </x:c>
      <x:c r="M305" s="9" t="str">
        <x:v>菜单仅证明名称/容量；水牛乳约150–220 kcal，含糖抹茶预拌料约40–160 kcal。</x:v>
      </x:c>
      <x:c r="N305" s="9" t="str">
        <x:v>待核实当前在售、杯型、糖度和热量；估算份量不是品牌配方。</x:v>
      </x:c>
      <x:c r="O305" s="9" t="str">
        <x:v>2026-10-04</x:v>
      </x:c>
    </x:row>
    <x:row r="306" ht="46" customHeight="1">
      <x:c r="A306" s="7" t="str">
        <x:v>D305</x:v>
      </x:c>
      <x:c r="B306" s="7" t="str">
        <x:v>Seesaw Coffee</x:v>
      </x:c>
      <x:c r="C306" s="7" t="str">
        <x:v>荔枝茉莉冰茶</x:v>
      </x:c>
      <x:c r="D306" s="7" t="str">
        <x:v>未注明</x:v>
      </x:c>
      <x:c r="E306" s="7" t="str">
        <x:v>未注明</x:v>
      </x:c>
      <x:c r="F306" s="10" t="n">
        <x:v>140</x:v>
      </x:c>
      <x:c r="G306" s="7" t="str">
        <x:v>70–240</x:v>
      </x:c>
      <x:c r="H306" s="7" t="str">
        <x:v>配料估算</x:v>
      </x:c>
      <x:c r="I306" s="7" t="str">
        <x:v>荔枝特调</x:v>
      </x:c>
      <x:c r="J306" s="12" t="str">
        <x:v>待核实</x:v>
      </x:c>
      <x:c r="K306" s="12" t="str"/>
      <x:c r="L306" s="7" t="str">
        <x:v>https://www.nckfhsm.com/brands/seesaw-coffee/menu/available</x:v>
      </x:c>
      <x:c r="M306" s="7" t="str">
        <x:v>第三方菜单仅证实名称；茶近0 kcal，荔枝汁/果酱及糖合计约70–240 kcal。</x:v>
      </x:c>
      <x:c r="N306" s="7" t="str">
        <x:v>目录品牌页标记Closed down且门店数0，与仍列在售菜单冲突；需先核实品牌经营状态及本地能否买到，候选参考。</x:v>
      </x:c>
      <x:c r="O306" s="7" t="str">
        <x:v>2026-10-04</x:v>
      </x:c>
    </x:row>
    <x:row r="307" ht="46" customHeight="1">
      <x:c r="A307" s="9" t="str">
        <x:v>D306</x:v>
      </x:c>
      <x:c r="B307" s="9" t="str">
        <x:v>Seesaw Coffee</x:v>
      </x:c>
      <x:c r="C307" s="9" t="str">
        <x:v>栀子花梨香拿铁</x:v>
      </x:c>
      <x:c r="D307" s="9" t="str">
        <x:v>未注明</x:v>
      </x:c>
      <x:c r="E307" s="9" t="str">
        <x:v>未注明</x:v>
      </x:c>
      <x:c r="F307" s="11" t="n">
        <x:v>250</x:v>
      </x:c>
      <x:c r="G307" s="9" t="str">
        <x:v>160–370</x:v>
      </x:c>
      <x:c r="H307" s="9" t="str">
        <x:v>配料估算</x:v>
      </x:c>
      <x:c r="I307" s="9" t="str">
        <x:v>梨香风味配料</x:v>
      </x:c>
      <x:c r="J307" s="12" t="str">
        <x:v>待核实</x:v>
      </x:c>
      <x:c r="K307" s="12" t="str"/>
      <x:c r="L307" s="9" t="str">
        <x:v>https://www.nckfhsm.com/brands/seesaw-coffee/menu/available</x:v>
      </x:c>
      <x:c r="M307" s="9" t="str">
        <x:v>第三方菜单仅证实名称；奶约120–185 kcal，梨汁/风味糖浆约40–150 kcal。</x:v>
      </x:c>
      <x:c r="N307" s="9" t="str">
        <x:v>目录品牌页标记Closed down且门店数0，与仍列在售菜单冲突；需先核实品牌经营状态及本地能否买到，候选参考。</x:v>
      </x:c>
      <x:c r="O307" s="9" t="str">
        <x:v>2026-10-04</x:v>
      </x:c>
    </x:row>
    <x:row r="308" ht="46" customHeight="1">
      <x:c r="A308" s="7" t="str">
        <x:v>D307</x:v>
      </x:c>
      <x:c r="B308" s="7" t="str">
        <x:v>Seesaw Coffee</x:v>
      </x:c>
      <x:c r="C308" s="7" t="str">
        <x:v>香橙拿铁</x:v>
      </x:c>
      <x:c r="D308" s="7" t="str">
        <x:v>未注明</x:v>
      </x:c>
      <x:c r="E308" s="7" t="str">
        <x:v>未注明</x:v>
      </x:c>
      <x:c r="F308" s="10" t="n">
        <x:v>240</x:v>
      </x:c>
      <x:c r="G308" s="7" t="str">
        <x:v>160–350</x:v>
      </x:c>
      <x:c r="H308" s="7" t="str">
        <x:v>配料估算</x:v>
      </x:c>
      <x:c r="I308" s="7" t="str">
        <x:v>橙味配料</x:v>
      </x:c>
      <x:c r="J308" s="12" t="str">
        <x:v>待核实</x:v>
      </x:c>
      <x:c r="K308" s="12" t="str"/>
      <x:c r="L308" s="7" t="str">
        <x:v>https://www.nckfhsm.com/brands/seesaw-coffee/menu/available</x:v>
      </x:c>
      <x:c r="M308" s="7" t="str">
        <x:v>第三方菜单仅证实名称；奶约120–185 kcal，橙味果酱/糖浆约40–120 kcal。</x:v>
      </x:c>
      <x:c r="N308" s="7" t="str">
        <x:v>目录品牌页标记Closed down且门店数0，与仍列在售菜单冲突；需先核实品牌经营状态及本地能否买到，候选参考。</x:v>
      </x:c>
      <x:c r="O308" s="7" t="str">
        <x:v>2026-10-04</x:v>
      </x:c>
    </x:row>
    <x:row r="309" ht="46" customHeight="1">
      <x:c r="A309" s="9" t="str">
        <x:v>D308</x:v>
      </x:c>
      <x:c r="B309" s="9" t="str">
        <x:v>Seesaw Coffee</x:v>
      </x:c>
      <x:c r="C309" s="9" t="str">
        <x:v>枇杷蜂蜜美式</x:v>
      </x:c>
      <x:c r="D309" s="9" t="str">
        <x:v>未注明</x:v>
      </x:c>
      <x:c r="E309" s="9" t="str">
        <x:v>未注明</x:v>
      </x:c>
      <x:c r="F309" s="11" t="n">
        <x:v>130</x:v>
      </x:c>
      <x:c r="G309" s="9" t="str">
        <x:v>60–220</x:v>
      </x:c>
      <x:c r="H309" s="9" t="str">
        <x:v>配料估算</x:v>
      </x:c>
      <x:c r="I309" s="9" t="str">
        <x:v>蜂蜜、枇杷配料</x:v>
      </x:c>
      <x:c r="J309" s="12" t="str">
        <x:v>待核实</x:v>
      </x:c>
      <x:c r="K309" s="12" t="str"/>
      <x:c r="L309" s="9" t="str">
        <x:v>https://www.nckfhsm.com/brands/seesaw-coffee/menu/available</x:v>
      </x:c>
      <x:c r="M309" s="9" t="str">
        <x:v>第三方菜单仅证实名称；黑咖近0 kcal，蜂蜜15–30 g约45–90 kcal，加枇杷配料20–100 kcal。</x:v>
      </x:c>
      <x:c r="N309" s="9" t="str">
        <x:v>目录品牌页标记Closed down且门店数0，与仍列在售菜单冲突；需先核实品牌经营状态及本地能否买到，候选参考。</x:v>
      </x:c>
      <x:c r="O309" s="9" t="str">
        <x:v>2026-10-04</x:v>
      </x:c>
    </x:row>
    <x:row r="310" ht="46" customHeight="1">
      <x:c r="A310" s="7" t="str">
        <x:v>D309</x:v>
      </x:c>
      <x:c r="B310" s="7" t="str">
        <x:v>Seesaw Coffee</x:v>
      </x:c>
      <x:c r="C310" s="7" t="str">
        <x:v>姜黄肉桂拿铁</x:v>
      </x:c>
      <x:c r="D310" s="7" t="str">
        <x:v>未注明</x:v>
      </x:c>
      <x:c r="E310" s="7" t="str">
        <x:v>未注明</x:v>
      </x:c>
      <x:c r="F310" s="10" t="n">
        <x:v>240</x:v>
      </x:c>
      <x:c r="G310" s="7" t="str">
        <x:v>150–350</x:v>
      </x:c>
      <x:c r="H310" s="7" t="str">
        <x:v>配料估算</x:v>
      </x:c>
      <x:c r="I310" s="7" t="str">
        <x:v>姜黄/肉桂风味配料</x:v>
      </x:c>
      <x:c r="J310" s="12" t="str">
        <x:v>待核实</x:v>
      </x:c>
      <x:c r="K310" s="12" t="str"/>
      <x:c r="L310" s="7" t="str">
        <x:v>https://www.nckfhsm.com/brands/seesaw-coffee/menu/available</x:v>
      </x:c>
      <x:c r="M310" s="7" t="str">
        <x:v>第三方菜单仅证实名称；奶约120–185 kcal，风味糖浆/预拌粉30–120 kcal。</x:v>
      </x:c>
      <x:c r="N310" s="7" t="str">
        <x:v>目录品牌页标记Closed down且门店数0，与仍列在售菜单冲突；需先核实品牌经营状态及本地能否买到，候选参考。</x:v>
      </x:c>
      <x:c r="O310" s="7" t="str">
        <x:v>2026-10-04</x:v>
      </x:c>
    </x:row>
    <x:row r="311" ht="46" customHeight="1">
      <x:c r="A311" s="9" t="str">
        <x:v>D310</x:v>
      </x:c>
      <x:c r="B311" s="9" t="str">
        <x:v>Seesaw Coffee</x:v>
      </x:c>
      <x:c r="C311" s="9" t="str">
        <x:v>琥珀烤奶拿铁</x:v>
      </x:c>
      <x:c r="D311" s="9" t="str">
        <x:v>未注明</x:v>
      </x:c>
      <x:c r="E311" s="9" t="str">
        <x:v>未注明</x:v>
      </x:c>
      <x:c r="F311" s="11" t="n">
        <x:v>280</x:v>
      </x:c>
      <x:c r="G311" s="9" t="str">
        <x:v>180–420</x:v>
      </x:c>
      <x:c r="H311" s="9" t="str">
        <x:v>配料估算</x:v>
      </x:c>
      <x:c r="I311" s="9" t="str">
        <x:v>烤奶风味配料</x:v>
      </x:c>
      <x:c r="J311" s="12" t="str">
        <x:v>待核实</x:v>
      </x:c>
      <x:c r="K311" s="12" t="str"/>
      <x:c r="L311" s="9" t="str">
        <x:v>https://www.nckfhsm.com/brands/seesaw-coffee/menu/available</x:v>
      </x:c>
      <x:c r="M311" s="9" t="str">
        <x:v>第三方菜单仅证实名称；奶约120–185 kcal，烤奶/焦糖风味配料60–180 kcal。</x:v>
      </x:c>
      <x:c r="N311" s="9" t="str">
        <x:v>目录品牌页标记Closed down且门店数0，与仍列在售菜单冲突；需先核实品牌经营状态及本地能否买到，候选参考。</x:v>
      </x:c>
      <x:c r="O311" s="9" t="str">
        <x:v>2026-10-04</x:v>
      </x:c>
    </x:row>
    <x:row r="312" ht="46" customHeight="1">
      <x:c r="A312" s="7" t="str">
        <x:v>D311</x:v>
      </x:c>
      <x:c r="B312" s="7" t="str">
        <x:v>Seesaw Coffee</x:v>
      </x:c>
      <x:c r="C312" s="7" t="str">
        <x:v>义乌红糖拿铁</x:v>
      </x:c>
      <x:c r="D312" s="7" t="str">
        <x:v>未注明</x:v>
      </x:c>
      <x:c r="E312" s="7" t="str">
        <x:v>未注明</x:v>
      </x:c>
      <x:c r="F312" s="10" t="n">
        <x:v>260</x:v>
      </x:c>
      <x:c r="G312" s="7" t="str">
        <x:v>170–380</x:v>
      </x:c>
      <x:c r="H312" s="7" t="str">
        <x:v>配料估算</x:v>
      </x:c>
      <x:c r="I312" s="7" t="str">
        <x:v>红糖</x:v>
      </x:c>
      <x:c r="J312" s="12" t="str">
        <x:v>待核实</x:v>
      </x:c>
      <x:c r="K312" s="12" t="str"/>
      <x:c r="L312" s="7" t="str">
        <x:v>https://www.nckfhsm.com/brands/seesaw-coffee/menu/available</x:v>
      </x:c>
      <x:c r="M312" s="7" t="str">
        <x:v>第三方菜单仅证实名称；奶约120–185 kcal，红糖15–35 g约60–140 kcal。</x:v>
      </x:c>
      <x:c r="N312" s="7" t="str">
        <x:v>目录品牌页标记Closed down且门店数0，与仍列在售菜单冲突；需先核实品牌经营状态及本地能否买到，候选参考。</x:v>
      </x:c>
      <x:c r="O312" s="7" t="str">
        <x:v>2026-10-04</x:v>
      </x:c>
    </x:row>
    <x:row r="313" ht="46" customHeight="1">
      <x:c r="A313" s="9" t="str">
        <x:v>D312</x:v>
      </x:c>
      <x:c r="B313" s="9" t="str">
        <x:v>Seesaw Coffee</x:v>
      </x:c>
      <x:c r="C313" s="9" t="str">
        <x:v>抹茶拿铁</x:v>
      </x:c>
      <x:c r="D313" s="9" t="str">
        <x:v>未注明</x:v>
      </x:c>
      <x:c r="E313" s="9" t="str">
        <x:v>未注明</x:v>
      </x:c>
      <x:c r="F313" s="11" t="n">
        <x:v>260</x:v>
      </x:c>
      <x:c r="G313" s="9" t="str">
        <x:v>160–380</x:v>
      </x:c>
      <x:c r="H313" s="9" t="str">
        <x:v>配料估算</x:v>
      </x:c>
      <x:c r="I313" s="9" t="str">
        <x:v>抹茶配料；不含咖啡</x:v>
      </x:c>
      <x:c r="J313" s="12" t="str">
        <x:v>待核实</x:v>
      </x:c>
      <x:c r="K313" s="12" t="str"/>
      <x:c r="L313" s="9" t="str">
        <x:v>https://www.nckfhsm.com/products/mo-cha-na-tie-29217</x:v>
      </x:c>
      <x:c r="M313" s="9" t="str">
        <x:v>第三方菜单仅证实名称；奶约120–185 kcal，含糖抹茶预拌料40–170 kcal。</x:v>
      </x:c>
      <x:c r="N313" s="9" t="str">
        <x:v>目录品牌页标记Closed down且门店数0，与仍列在售菜单冲突；需先核实品牌经营状态及本地能否买到，候选参考。</x:v>
      </x:c>
      <x:c r="O313" s="9" t="str">
        <x:v>2026-10-04</x:v>
      </x:c>
    </x:row>
    <x:row r="314" ht="63" customHeight="1">
      <x:c r="A314" s="7" t="str">
        <x:v>D313</x:v>
      </x:c>
      <x:c r="B314" s="7" t="str">
        <x:v>比星咖啡 BeanStar</x:v>
      </x:c>
      <x:c r="C314" s="7" t="str">
        <x:v>美式咖啡</x:v>
      </x:c>
      <x:c r="D314" s="7" t="str">
        <x:v>355–473 ml</x:v>
      </x:c>
      <x:c r="E314" s="7" t="str">
        <x:v>未注明</x:v>
      </x:c>
      <x:c r="F314" s="10" t="n">
        <x:v>0</x:v>
      </x:c>
      <x:c r="G314" s="7" t="str">
        <x:v>0–15</x:v>
      </x:c>
      <x:c r="H314" s="7" t="str">
        <x:v>第三方参考</x:v>
      </x:c>
      <x:c r="I314" s="7" t="str">
        <x:v>无额外小料；乳基底已计入</x:v>
      </x:c>
      <x:c r="J314" s="12" t="str">
        <x:v>待核实</x:v>
      </x:c>
      <x:c r="K314" s="12" t="str"/>
      <x:c r="L314" s="7" t="str">
        <x:v>https://www.nckfhsm.com/brands/bestar-bi-xing-ka-fei/menu/available?page=4</x:v>
      </x:c>
      <x:c r="M314" s="7" t="str">
        <x:v>第三方菜单列0 kcal；不加奶糖。</x:v>
      </x:c>
      <x:c r="N314" s="7" t="str">
        <x:v>待核实当前在售、杯型、糖度和热量；估算份量不是品牌配方。 品牌官方使用BeanStar（https://www.beanstar.com/products）；本条菜单取自Bestar目录，同一品牌与当期在售需核对。</x:v>
      </x:c>
      <x:c r="O314" s="7" t="str">
        <x:v>2026-10-04</x:v>
      </x:c>
    </x:row>
    <x:row r="315" ht="63" customHeight="1">
      <x:c r="A315" s="9" t="str">
        <x:v>D314</x:v>
      </x:c>
      <x:c r="B315" s="9" t="str">
        <x:v>比星咖啡 BeanStar</x:v>
      </x:c>
      <x:c r="C315" s="9" t="str">
        <x:v>拿铁</x:v>
      </x:c>
      <x:c r="D315" s="9" t="str">
        <x:v>355–473 ml</x:v>
      </x:c>
      <x:c r="E315" s="9" t="str">
        <x:v>未注明</x:v>
      </x:c>
      <x:c r="F315" s="11" t="n">
        <x:v>180</x:v>
      </x:c>
      <x:c r="G315" s="9" t="str">
        <x:v>120–270</x:v>
      </x:c>
      <x:c r="H315" s="9" t="str">
        <x:v>配料估算</x:v>
      </x:c>
      <x:c r="I315" s="9" t="str">
        <x:v>无额外小料；乳基底已计入</x:v>
      </x:c>
      <x:c r="J315" s="12" t="str">
        <x:v>待核实</x:v>
      </x:c>
      <x:c r="K315" s="12" t="str"/>
      <x:c r="L315" s="9" t="str">
        <x:v>https://www.nckfhsm.com/brands/bestar-bi-xing-ka-fei/menu/available?page=4</x:v>
      </x:c>
      <x:c r="M315" s="9" t="str">
        <x:v>菜单仅证明名称/容量；奶200–350 ml约120–215 kcal。</x:v>
      </x:c>
      <x:c r="N315" s="9" t="str">
        <x:v>核对杯型、奶品和当前在售。 品牌官方使用BeanStar（https://www.beanstar.com/products）；本条菜单取自Bestar目录，同一品牌与当期在售需核对。</x:v>
      </x:c>
      <x:c r="O315" s="9" t="str">
        <x:v>2026-10-04</x:v>
      </x:c>
    </x:row>
    <x:row r="316" ht="63" customHeight="1">
      <x:c r="A316" s="7" t="str">
        <x:v>D315</x:v>
      </x:c>
      <x:c r="B316" s="7" t="str">
        <x:v>比星咖啡 BeanStar</x:v>
      </x:c>
      <x:c r="C316" s="7" t="str">
        <x:v>生椰拿铁</x:v>
      </x:c>
      <x:c r="D316" s="7" t="str">
        <x:v>355–473 ml</x:v>
      </x:c>
      <x:c r="E316" s="7" t="str">
        <x:v>未注明</x:v>
      </x:c>
      <x:c r="F316" s="10" t="n">
        <x:v>230</x:v>
      </x:c>
      <x:c r="G316" s="7" t="str">
        <x:v>150–360</x:v>
      </x:c>
      <x:c r="H316" s="7" t="str">
        <x:v>配料估算</x:v>
      </x:c>
      <x:c r="I316" s="7" t="str">
        <x:v>生椰基底</x:v>
      </x:c>
      <x:c r="J316" s="12" t="str">
        <x:v>待核实</x:v>
      </x:c>
      <x:c r="K316" s="12" t="str"/>
      <x:c r="L316" s="7" t="str">
        <x:v>https://www.nckfhsm.com/brands/bestar-bi-xing-ka-fei/menu/available?page=4</x:v>
      </x:c>
      <x:c r="M316" s="7" t="str">
        <x:v>菜单仅证明名称/容量；椰乳调制基底200–300 ml假设60–100 kcal/100 ml，附加糖未知。</x:v>
      </x:c>
      <x:c r="N316" s="7" t="str">
        <x:v>核对杯型、奶品和当前在售。 品牌官方使用BeanStar（https://www.beanstar.com/products）；本条菜单取自Bestar目录，同一品牌与当期在售需核对。</x:v>
      </x:c>
      <x:c r="O316" s="7" t="str">
        <x:v>2026-10-04</x:v>
      </x:c>
    </x:row>
    <x:row r="317" ht="63" customHeight="1">
      <x:c r="A317" s="9" t="str">
        <x:v>D316</x:v>
      </x:c>
      <x:c r="B317" s="9" t="str">
        <x:v>比星咖啡 BeanStar</x:v>
      </x:c>
      <x:c r="C317" s="9" t="str">
        <x:v>Dirty得体</x:v>
      </x:c>
      <x:c r="D317" s="9" t="str">
        <x:v>237 ml</x:v>
      </x:c>
      <x:c r="E317" s="9" t="str">
        <x:v>未注明</x:v>
      </x:c>
      <x:c r="F317" s="11" t="n">
        <x:v>180</x:v>
      </x:c>
      <x:c r="G317" s="9" t="str">
        <x:v>120–270</x:v>
      </x:c>
      <x:c r="H317" s="9" t="str">
        <x:v>配料估算</x:v>
      </x:c>
      <x:c r="I317" s="9" t="str">
        <x:v>浓乳基底未核实</x:v>
      </x:c>
      <x:c r="J317" s="12" t="str">
        <x:v>待核实</x:v>
      </x:c>
      <x:c r="K317" s="12" t="str"/>
      <x:c r="L317" s="9" t="str">
        <x:v>https://www.nckfhsm.com/brands/bestar-bi-xing-ka-fei/menu/available?page=4</x:v>
      </x:c>
      <x:c r="M317" s="9" t="str">
        <x:v>菜单仅证明名称/容量；奶/浓乳150–200 ml约60–120 kcal/100 ml。</x:v>
      </x:c>
      <x:c r="N317" s="9" t="str">
        <x:v>核对杯型、奶品和当前在售。 品牌官方使用BeanStar（https://www.beanstar.com/products）；本条菜单取自Bestar目录，同一品牌与当期在售需核对。</x:v>
      </x:c>
      <x:c r="O317" s="9" t="str">
        <x:v>2026-10-04</x:v>
      </x:c>
    </x:row>
    <x:row r="318" ht="63" customHeight="1">
      <x:c r="A318" s="7" t="str">
        <x:v>D317</x:v>
      </x:c>
      <x:c r="B318" s="7" t="str">
        <x:v>比星咖啡 BeanStar</x:v>
      </x:c>
      <x:c r="C318" s="7" t="str">
        <x:v>澳白</x:v>
      </x:c>
      <x:c r="D318" s="7" t="str">
        <x:v>237 ml</x:v>
      </x:c>
      <x:c r="E318" s="7" t="str">
        <x:v>未注明</x:v>
      </x:c>
      <x:c r="F318" s="10" t="n">
        <x:v>130</x:v>
      </x:c>
      <x:c r="G318" s="7" t="str">
        <x:v>90–200</x:v>
      </x:c>
      <x:c r="H318" s="7" t="str">
        <x:v>配料估算</x:v>
      </x:c>
      <x:c r="I318" s="7" t="str">
        <x:v>无额外小料；乳基底已计入</x:v>
      </x:c>
      <x:c r="J318" s="12" t="str">
        <x:v>待核实</x:v>
      </x:c>
      <x:c r="K318" s="12" t="str"/>
      <x:c r="L318" s="7" t="str">
        <x:v>https://www.nckfhsm.com/brands/bestar-bi-xing-ka-fei/menu/available?page=4</x:v>
      </x:c>
      <x:c r="M318" s="7" t="str">
        <x:v>菜单仅证明名称/容量；奶150–200 ml约90–125 kcal加浓缩。</x:v>
      </x:c>
      <x:c r="N318" s="7" t="str">
        <x:v>核对杯型、奶品和当前在售。 品牌官方使用BeanStar（https://www.beanstar.com/products）；本条菜单取自Bestar目录，同一品牌与当期在售需核对。</x:v>
      </x:c>
      <x:c r="O318" s="7" t="str">
        <x:v>2026-10-04</x:v>
      </x:c>
    </x:row>
    <x:row r="319" ht="63" customHeight="1">
      <x:c r="A319" s="9" t="str">
        <x:v>D318</x:v>
      </x:c>
      <x:c r="B319" s="9" t="str">
        <x:v>比星咖啡 BeanStar</x:v>
      </x:c>
      <x:c r="C319" s="9" t="str">
        <x:v>燕麦拿铁</x:v>
      </x:c>
      <x:c r="D319" s="9" t="str">
        <x:v>355–473 ml</x:v>
      </x:c>
      <x:c r="E319" s="9" t="str">
        <x:v>未注明</x:v>
      </x:c>
      <x:c r="F319" s="11" t="n">
        <x:v>170</x:v>
      </x:c>
      <x:c r="G319" s="9" t="str">
        <x:v>110–260</x:v>
      </x:c>
      <x:c r="H319" s="9" t="str">
        <x:v>配料估算</x:v>
      </x:c>
      <x:c r="I319" s="9" t="str">
        <x:v>燕麦奶</x:v>
      </x:c>
      <x:c r="J319" s="12" t="str">
        <x:v>待核实</x:v>
      </x:c>
      <x:c r="K319" s="12" t="str"/>
      <x:c r="L319" s="9" t="str">
        <x:v>https://www.nckfhsm.com/brands/bestar-bi-xing-ka-fei/menu/available?page=4</x:v>
      </x:c>
      <x:c r="M319" s="9" t="str">
        <x:v>菜单仅证明名称/容量；燕麦奶200–350 ml约46–64 kcal/100 ml。</x:v>
      </x:c>
      <x:c r="N319" s="9" t="str">
        <x:v>核对杯型、奶品和当前在售。 品牌官方使用BeanStar（https://www.beanstar.com/products）；本条菜单取自Bestar目录，同一品牌与当期在售需核对。</x:v>
      </x:c>
      <x:c r="O319" s="9" t="str">
        <x:v>2026-10-04</x:v>
      </x:c>
    </x:row>
    <x:row r="320" ht="63" customHeight="1">
      <x:c r="A320" s="7" t="str">
        <x:v>D319</x:v>
      </x:c>
      <x:c r="B320" s="7" t="str">
        <x:v>比星咖啡 BeanStar</x:v>
      </x:c>
      <x:c r="C320" s="7" t="str">
        <x:v>铂金拿铁</x:v>
      </x:c>
      <x:c r="D320" s="7" t="str">
        <x:v>355–473 ml</x:v>
      </x:c>
      <x:c r="E320" s="7" t="str">
        <x:v>未注明</x:v>
      </x:c>
      <x:c r="F320" s="10" t="n">
        <x:v>180</x:v>
      </x:c>
      <x:c r="G320" s="7" t="str">
        <x:v>120–270</x:v>
      </x:c>
      <x:c r="H320" s="7" t="str">
        <x:v>配料估算</x:v>
      </x:c>
      <x:c r="I320" s="7" t="str">
        <x:v>无额外小料；乳基底已计入</x:v>
      </x:c>
      <x:c r="J320" s="12" t="str">
        <x:v>待核实</x:v>
      </x:c>
      <x:c r="K320" s="12" t="str"/>
      <x:c r="L320" s="7" t="str">
        <x:v>https://www.nckfhsm.com/brands/bestar-bi-xing-ka-fei/menu/available?page=4</x:v>
      </x:c>
      <x:c r="M320" s="7" t="str">
        <x:v>菜单仅证明名称/容量；奶200–350 ml约120–215 kcal。</x:v>
      </x:c>
      <x:c r="N320" s="7" t="str">
        <x:v>核对杯型、奶品和当前在售。 品牌官方使用BeanStar（https://www.beanstar.com/products）；本条菜单取自Bestar目录，同一品牌与当期在售需核对。</x:v>
      </x:c>
      <x:c r="O320" s="7" t="str">
        <x:v>2026-10-04</x:v>
      </x:c>
    </x:row>
    <x:row r="321" ht="63" customHeight="1">
      <x:c r="A321" s="9" t="str">
        <x:v>D320</x:v>
      </x:c>
      <x:c r="B321" s="9" t="str">
        <x:v>比星咖啡 BeanStar</x:v>
      </x:c>
      <x:c r="C321" s="9" t="str">
        <x:v>铂金澳白</x:v>
      </x:c>
      <x:c r="D321" s="9" t="str">
        <x:v>237 ml</x:v>
      </x:c>
      <x:c r="E321" s="9" t="str">
        <x:v>未注明</x:v>
      </x:c>
      <x:c r="F321" s="11" t="n">
        <x:v>130</x:v>
      </x:c>
      <x:c r="G321" s="9" t="str">
        <x:v>90–200</x:v>
      </x:c>
      <x:c r="H321" s="9" t="str">
        <x:v>配料估算</x:v>
      </x:c>
      <x:c r="I321" s="9" t="str">
        <x:v>无额外小料；乳基底已计入</x:v>
      </x:c>
      <x:c r="J321" s="12" t="str">
        <x:v>待核实</x:v>
      </x:c>
      <x:c r="K321" s="12" t="str"/>
      <x:c r="L321" s="9" t="str">
        <x:v>https://www.nckfhsm.com/brands/bestar-bi-xing-ka-fei/menu/available?page=4</x:v>
      </x:c>
      <x:c r="M321" s="9" t="str">
        <x:v>菜单仅证明名称/容量；奶150–200 ml约90–125 kcal加浓缩。</x:v>
      </x:c>
      <x:c r="N321" s="9" t="str">
        <x:v>核对杯型、奶品和当前在售。 品牌官方使用BeanStar（https://www.beanstar.com/products）；本条菜单取自Bestar目录，同一品牌与当期在售需核对。</x:v>
      </x:c>
      <x:c r="O321" s="9" t="str">
        <x:v>2026-10-04</x:v>
      </x:c>
    </x:row>
  </x:sheetData>
  <x:dataValidations count="1">
    <x:dataValidation type="list" sqref="J2:J321">
      <x:formula1>"待核实,已核实,需修改,不收录"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e684441d5440c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5" hidden="0" customWidth="1"/>
    <x:col min="4" max="4" width="18" hidden="0" customWidth="1"/>
    <x:col min="5" max="5" width="20" hidden="0" customWidth="1"/>
    <x:col min="6" max="6" width="22" hidden="0" customWidth="1"/>
    <x:col min="7" max="7" width="55" hidden="0" customWidth="1"/>
    <x:col min="8" max="8" width="15" hidden="0" customWidth="1"/>
    <x:col min="9" max="9" width="20" hidden="0" customWidth="1"/>
    <x:col min="10" max="10" width="65" hidden="0" customWidth="1"/>
    <x:col min="11" max="11" width="85" hidden="0" customWidth="1"/>
    <x:col min="12" max="12" width="80" hidden="0" customWidth="1"/>
  </x:cols>
  <x:sheetData>
    <x:row r="1" ht="32" customHeight="1">
      <x:c r="A1" s="5" t="str">
        <x:v>编号</x:v>
      </x:c>
      <x:c r="B1" s="5" t="str">
        <x:v>小料或添加项</x:v>
      </x:c>
      <x:c r="C1" s="5" t="str">
        <x:v>参考份量</x:v>
      </x:c>
      <x:c r="D1" s="5" t="str">
        <x:v>参考 kcal/份</x:v>
      </x:c>
      <x:c r="E1" s="5" t="str">
        <x:v>参考范围 kcal</x:v>
      </x:c>
      <x:c r="F1" s="5" t="str">
        <x:v>依据类型</x:v>
      </x:c>
      <x:c r="G1" s="5" t="str">
        <x:v>适用说明</x:v>
      </x:c>
      <x:c r="H1" s="5" t="str">
        <x:v>核实状态</x:v>
      </x:c>
      <x:c r="I1" s="5" t="str">
        <x:v>核实后热量 kcal</x:v>
      </x:c>
      <x:c r="J1" s="5" t="str">
        <x:v>来源链接</x:v>
      </x:c>
      <x:c r="K1" s="5" t="str">
        <x:v>来源说明或估算假设</x:v>
      </x:c>
      <x:c r="L1" s="5" t="str">
        <x:v>待核实问题</x:v>
      </x:c>
    </x:row>
    <x:row r="2" ht="46" customHeight="1">
      <x:c r="A2" s="7" t="str">
        <x:v>T001</x:v>
      </x:c>
      <x:c r="B2" s="7" t="str">
        <x:v>珍珠/波霸</x:v>
      </x:c>
      <x:c r="C2" s="7" t="str">
        <x:v>约60–70g熟料</x:v>
      </x:c>
      <x:c r="D2" s="10" t="n">
        <x:v>156</x:v>
      </x:c>
      <x:c r="E2" s="7" t="str">
        <x:v>100–200</x:v>
      </x:c>
      <x:c r="F2" s="7" t="str">
        <x:v>第三方参考</x:v>
      </x:c>
      <x:c r="G2" s="7" t="str">
        <x:v>通用参考，品牌是否可加及份量待核实</x:v>
      </x:c>
      <x:c r="H2" s="12" t="str">
        <x:v>待核实</x:v>
      </x:c>
      <x:c r="I2" s="12" t="str"/>
      <x:c r="J2" s="7" t="str">
        <x:v>https://uptogo.com.tw/美食/食品/椰果熱量很高嗎？/</x:v>
      </x:c>
      <x:c r="K2" s="7" t="str">
        <x:v>第三方平均份量表，非任何大陆品牌官方值</x:v>
      </x:c>
      <x:c r="L2" s="7" t="str">
        <x:v>熟重，含挂糖；不同大小珍珠不可固定同一份量</x:v>
      </x:c>
    </x:row>
    <x:row r="3" ht="46" customHeight="1">
      <x:c r="A3" s="9" t="str">
        <x:v>T002</x:v>
      </x:c>
      <x:c r="B3" s="9" t="str">
        <x:v>芋圆</x:v>
      </x:c>
      <x:c r="C3" s="9" t="str">
        <x:v>约60–70g熟料</x:v>
      </x:c>
      <x:c r="D3" s="11" t="n">
        <x:v>128</x:v>
      </x:c>
      <x:c r="E3" s="9" t="str">
        <x:v>90–170</x:v>
      </x:c>
      <x:c r="F3" s="9" t="str">
        <x:v>第三方参考</x:v>
      </x:c>
      <x:c r="G3" s="9" t="str">
        <x:v>通用参考，品牌是否可加及份量待核实</x:v>
      </x:c>
      <x:c r="H3" s="12" t="str">
        <x:v>待核实</x:v>
      </x:c>
      <x:c r="I3" s="12" t="str"/>
      <x:c r="J3" s="9" t="str">
        <x:v>https://uptogo.com.tw/美食/食品/椰果熱量很高嗎？/</x:v>
      </x:c>
      <x:c r="K3" s="9" t="str">
        <x:v>第三方平均份量表</x:v>
      </x:c>
      <x:c r="L3" s="9" t="str">
        <x:v>芋圆与芋泥分别核实</x:v>
      </x:c>
    </x:row>
    <x:row r="4" ht="46" customHeight="1">
      <x:c r="A4" s="7" t="str">
        <x:v>T003</x:v>
      </x:c>
      <x:c r="B4" s="7" t="str">
        <x:v>粉条</x:v>
      </x:c>
      <x:c r="C4" s="7" t="str">
        <x:v>约60–70g熟料</x:v>
      </x:c>
      <x:c r="D4" s="10" t="n">
        <x:v>131</x:v>
      </x:c>
      <x:c r="E4" s="7" t="str">
        <x:v>90–180</x:v>
      </x:c>
      <x:c r="F4" s="7" t="str">
        <x:v>第三方参考</x:v>
      </x:c>
      <x:c r="G4" s="7" t="str">
        <x:v>通用参考，品牌是否可加及份量待核实</x:v>
      </x:c>
      <x:c r="H4" s="12" t="str">
        <x:v>待核实</x:v>
      </x:c>
      <x:c r="I4" s="12" t="str"/>
      <x:c r="J4" s="7" t="str">
        <x:v>https://uptogo.com.tw/美食/食品/椰果熱量很高嗎？/</x:v>
      </x:c>
      <x:c r="K4" s="7" t="str">
        <x:v>第三方平均份量表</x:v>
      </x:c>
      <x:c r="L4" s="7" t="str">
        <x:v>含糖水程度待核实</x:v>
      </x:c>
    </x:row>
    <x:row r="5" ht="46" customHeight="1">
      <x:c r="A5" s="9" t="str">
        <x:v>T004</x:v>
      </x:c>
      <x:c r="B5" s="9" t="str">
        <x:v>布丁</x:v>
      </x:c>
      <x:c r="C5" s="9" t="str">
        <x:v>约60–70g</x:v>
      </x:c>
      <x:c r="D5" s="11" t="n">
        <x:v>110</x:v>
      </x:c>
      <x:c r="E5" s="9" t="str">
        <x:v>70–150</x:v>
      </x:c>
      <x:c r="F5" s="9" t="str">
        <x:v>第三方参考</x:v>
      </x:c>
      <x:c r="G5" s="9" t="str">
        <x:v>通用参考，品牌是否可加及份量待核实</x:v>
      </x:c>
      <x:c r="H5" s="12" t="str">
        <x:v>待核实</x:v>
      </x:c>
      <x:c r="I5" s="12" t="str"/>
      <x:c r="J5" s="9" t="str">
        <x:v>https://uptogo.com.tw/美食/食品/椰果熱量很高嗎？/</x:v>
      </x:c>
      <x:c r="K5" s="9" t="str">
        <x:v>第三方平均份量表</x:v>
      </x:c>
      <x:c r="L5" s="9" t="str">
        <x:v>鸡蛋布丁和奶冻不能完全共用</x:v>
      </x:c>
    </x:row>
    <x:row r="6" ht="46" customHeight="1">
      <x:c r="A6" s="7" t="str">
        <x:v>T005</x:v>
      </x:c>
      <x:c r="B6" s="7" t="str">
        <x:v>椰果</x:v>
      </x:c>
      <x:c r="C6" s="7" t="str">
        <x:v>约60–70g沥糖水料</x:v>
      </x:c>
      <x:c r="D6" s="10" t="n">
        <x:v>76</x:v>
      </x:c>
      <x:c r="E6" s="7" t="str">
        <x:v>40–110</x:v>
      </x:c>
      <x:c r="F6" s="7" t="str">
        <x:v>第三方参考</x:v>
      </x:c>
      <x:c r="G6" s="7" t="str">
        <x:v>通用参考，品牌是否可加及份量待核实</x:v>
      </x:c>
      <x:c r="H6" s="12" t="str">
        <x:v>待核实</x:v>
      </x:c>
      <x:c r="I6" s="12" t="str"/>
      <x:c r="J6" s="7" t="str">
        <x:v>https://uptogo.com.tw/美食/食品/椰果熱量很高嗎？/</x:v>
      </x:c>
      <x:c r="K6" s="7" t="str">
        <x:v>第三方平均份量表</x:v>
      </x:c>
      <x:c r="L6" s="7" t="str">
        <x:v>不是椰肉；额外糖水计入情况未知</x:v>
      </x:c>
    </x:row>
    <x:row r="7" ht="46" customHeight="1">
      <x:c r="A7" s="9" t="str">
        <x:v>T006</x:v>
      </x:c>
      <x:c r="B7" s="9" t="str">
        <x:v>蒟蒻</x:v>
      </x:c>
      <x:c r="C7" s="9" t="str">
        <x:v>约60–70g</x:v>
      </x:c>
      <x:c r="D7" s="11" t="n">
        <x:v>71</x:v>
      </x:c>
      <x:c r="E7" s="9" t="str">
        <x:v>30–100</x:v>
      </x:c>
      <x:c r="F7" s="9" t="str">
        <x:v>第三方参考</x:v>
      </x:c>
      <x:c r="G7" s="9" t="str">
        <x:v>通用参考，品牌是否可加及份量待核实</x:v>
      </x:c>
      <x:c r="H7" s="12" t="str">
        <x:v>待核实</x:v>
      </x:c>
      <x:c r="I7" s="12" t="str"/>
      <x:c r="J7" s="9" t="str">
        <x:v>https://uptogo.com.tw/美食/食品/椰果熱量很高嗎？/</x:v>
      </x:c>
      <x:c r="K7" s="9" t="str">
        <x:v>第三方平均份量表</x:v>
      </x:c>
      <x:c r="L7" s="9" t="str">
        <x:v>不是无糖蒟蒻的固定热量</x:v>
      </x:c>
    </x:row>
    <x:row r="8" ht="46" customHeight="1">
      <x:c r="A8" s="7" t="str">
        <x:v>T007</x:v>
      </x:c>
      <x:c r="B8" s="7" t="str">
        <x:v>仙草冻</x:v>
      </x:c>
      <x:c r="C8" s="7" t="str">
        <x:v>约60–70g</x:v>
      </x:c>
      <x:c r="D8" s="10" t="n">
        <x:v>57</x:v>
      </x:c>
      <x:c r="E8" s="7" t="str">
        <x:v>20–80</x:v>
      </x:c>
      <x:c r="F8" s="7" t="str">
        <x:v>第三方参考</x:v>
      </x:c>
      <x:c r="G8" s="7" t="str">
        <x:v>通用参考，品牌是否可加及份量待核实</x:v>
      </x:c>
      <x:c r="H8" s="12" t="str">
        <x:v>待核实</x:v>
      </x:c>
      <x:c r="I8" s="12" t="str"/>
      <x:c r="J8" s="7" t="str">
        <x:v>https://uptogo.com.tw/美食/食品/椰果熱量很高嗎？/</x:v>
      </x:c>
      <x:c r="K8" s="7" t="str">
        <x:v>第三方平均份量表</x:v>
      </x:c>
      <x:c r="L8" s="7" t="str">
        <x:v>加糖冻与原味冻差异很大</x:v>
      </x:c>
    </x:row>
    <x:row r="9" ht="46" customHeight="1">
      <x:c r="A9" s="9" t="str">
        <x:v>T008</x:v>
      </x:c>
      <x:c r="B9" s="9" t="str">
        <x:v>爱玉冻</x:v>
      </x:c>
      <x:c r="C9" s="9" t="str">
        <x:v>约60–70g</x:v>
      </x:c>
      <x:c r="D9" s="11" t="n">
        <x:v>45</x:v>
      </x:c>
      <x:c r="E9" s="9" t="str">
        <x:v>10–70</x:v>
      </x:c>
      <x:c r="F9" s="9" t="str">
        <x:v>第三方参考</x:v>
      </x:c>
      <x:c r="G9" s="9" t="str">
        <x:v>通用参考，品牌是否可加及份量待核实</x:v>
      </x:c>
      <x:c r="H9" s="12" t="str">
        <x:v>待核实</x:v>
      </x:c>
      <x:c r="I9" s="12" t="str"/>
      <x:c r="J9" s="9" t="str">
        <x:v>https://uptogo.com.tw/美食/食品/椰果熱量很高嗎？/</x:v>
      </x:c>
      <x:c r="K9" s="9" t="str">
        <x:v>第三方平均份量表</x:v>
      </x:c>
      <x:c r="L9" s="9" t="str">
        <x:v>含糖版本参考</x:v>
      </x:c>
    </x:row>
    <x:row r="10" ht="46" customHeight="1">
      <x:c r="A10" s="7" t="str">
        <x:v>T009</x:v>
      </x:c>
      <x:c r="B10" s="7" t="str">
        <x:v>寒天/脆啵啵</x:v>
      </x:c>
      <x:c r="C10" s="7" t="str">
        <x:v>约60–70g</x:v>
      </x:c>
      <x:c r="D10" s="10" t="n">
        <x:v>42</x:v>
      </x:c>
      <x:c r="E10" s="7" t="str">
        <x:v>20–80</x:v>
      </x:c>
      <x:c r="F10" s="7" t="str">
        <x:v>第三方参考</x:v>
      </x:c>
      <x:c r="G10" s="7" t="str">
        <x:v>通用参考，品牌是否可加及份量待核实</x:v>
      </x:c>
      <x:c r="H10" s="12" t="str">
        <x:v>待核实</x:v>
      </x:c>
      <x:c r="I10" s="12" t="str"/>
      <x:c r="J10" s="7" t="str">
        <x:v>https://uptogo.com.tw/美食/食品/椰果熱量很高嗎？/</x:v>
      </x:c>
      <x:c r="K10" s="7" t="str">
        <x:v>页面寒天均值，脆啵啵按同类暂用，不是同一产品</x:v>
      </x:c>
      <x:c r="L10" s="7" t="str">
        <x:v>品牌脆啵啵配方需独立核实</x:v>
      </x:c>
    </x:row>
    <x:row r="11" ht="46" customHeight="1">
      <x:c r="A11" s="9" t="str">
        <x:v>T010</x:v>
      </x:c>
      <x:c r="B11" s="9" t="str">
        <x:v>芦荟</x:v>
      </x:c>
      <x:c r="C11" s="9" t="str">
        <x:v>约60–70g</x:v>
      </x:c>
      <x:c r="D11" s="11" t="n">
        <x:v>31</x:v>
      </x:c>
      <x:c r="E11" s="9" t="str">
        <x:v>10–60</x:v>
      </x:c>
      <x:c r="F11" s="9" t="str">
        <x:v>第三方参考</x:v>
      </x:c>
      <x:c r="G11" s="9" t="str">
        <x:v>通用参考，品牌是否可加及份量待核实</x:v>
      </x:c>
      <x:c r="H11" s="12" t="str">
        <x:v>待核实</x:v>
      </x:c>
      <x:c r="I11" s="12" t="str"/>
      <x:c r="J11" s="9" t="str">
        <x:v>https://uptogo.com.tw/美食/食品/椰果熱量很高嗎？/</x:v>
      </x:c>
      <x:c r="K11" s="9" t="str">
        <x:v>第三方平均份量表</x:v>
      </x:c>
      <x:c r="L11" s="9" t="str">
        <x:v>糖渍程度影响热量</x:v>
      </x:c>
    </x:row>
    <x:row r="12" ht="46" customHeight="1">
      <x:c r="A12" s="7" t="str">
        <x:v>T011</x:v>
      </x:c>
      <x:c r="B12" s="7" t="str">
        <x:v>芝士奶盖</x:v>
      </x:c>
      <x:c r="C12" s="7" t="str">
        <x:v>约60–70g</x:v>
      </x:c>
      <x:c r="D12" s="10" t="n">
        <x:v>203</x:v>
      </x:c>
      <x:c r="E12" s="7" t="str">
        <x:v>120–260</x:v>
      </x:c>
      <x:c r="F12" s="7" t="str">
        <x:v>第三方参考</x:v>
      </x:c>
      <x:c r="G12" s="7" t="str">
        <x:v>通用参考，品牌是否可加及份量待核实</x:v>
      </x:c>
      <x:c r="H12" s="12" t="str">
        <x:v>待核实</x:v>
      </x:c>
      <x:c r="I12" s="12" t="str"/>
      <x:c r="J12" s="7" t="str">
        <x:v>https://uptogo.com.tw/美食/食品/椰果熱量很高嗎？/</x:v>
      </x:c>
      <x:c r="K12" s="7" t="str">
        <x:v>第三方平均份量表</x:v>
      </x:c>
      <x:c r="L12" s="7" t="str">
        <x:v>厚奶盖参考；轻乳沫不适用</x:v>
      </x:c>
    </x:row>
    <x:row r="13" ht="80" customHeight="1">
      <x:c r="A13" s="9" t="str">
        <x:v>T012</x:v>
      </x:c>
      <x:c r="B13" s="9" t="str">
        <x:v>鲜牛奶额外添加</x:v>
      </x:c>
      <x:c r="C13" s="9" t="str">
        <x:v>100ml</x:v>
      </x:c>
      <x:c r="D13" s="11" t="n">
        <x:v>62</x:v>
      </x:c>
      <x:c r="E13" s="9" t="str">
        <x:v>60–70</x:v>
      </x:c>
      <x:c r="F13" s="9" t="str">
        <x:v>原料标签参考</x:v>
      </x:c>
      <x:c r="G13" s="9" t="str">
        <x:v>通用参考，品牌是否可加及份量待核实</x:v>
      </x:c>
      <x:c r="H13" s="12" t="str">
        <x:v>待核实</x:v>
      </x:c>
      <x:c r="I13" s="12" t="str"/>
      <x:c r="J13" s="9" t="str">
        <x:v>https://www.anchordairy.com/ph/en/products/milk-powders-and-uht/anchor-full-cream-uht-milk.html</x:v>
      </x:c>
      <x:c r="K13" s="9" t="str">
        <x:v>安佳菲律宾官网原料每100ml 62kcal；不是大陆门店实际配方</x:v>
      </x:c>
      <x:c r="L13" s="9" t="str">
        <x:v>额外添加才相加；换奶先扣原奶</x:v>
      </x:c>
    </x:row>
    <x:row r="14" ht="63" customHeight="1">
      <x:c r="A14" s="7" t="str">
        <x:v>T013</x:v>
      </x:c>
      <x:c r="B14" s="7" t="str">
        <x:v>燕麦奶额外添加</x:v>
      </x:c>
      <x:c r="C14" s="7" t="str">
        <x:v>100ml</x:v>
      </x:c>
      <x:c r="D14" s="10" t="n">
        <x:v>61</x:v>
      </x:c>
      <x:c r="E14" s="7" t="str">
        <x:v>40–80</x:v>
      </x:c>
      <x:c r="F14" s="7" t="str">
        <x:v>原料标签参考</x:v>
      </x:c>
      <x:c r="G14" s="7" t="str">
        <x:v>通用参考，品牌是否可加及份量待核实</x:v>
      </x:c>
      <x:c r="H14" s="12" t="str">
        <x:v>待核实</x:v>
      </x:c>
      <x:c r="I14" s="12" t="str"/>
      <x:c r="J14" s="7" t="str">
        <x:v>https://www.onestop.co.uk/product/oatly-oat-drink-barista-edition-1l/</x:v>
      </x:c>
      <x:c r="K14" s="7" t="str">
        <x:v>英国零售商Oatly咖啡大师产品标签61kcal/100ml</x:v>
      </x:c>
      <x:c r="L14" s="7" t="str">
        <x:v>不同燕麦奶不同；换奶不当额外添加</x:v>
      </x:c>
    </x:row>
    <x:row r="15" ht="63" customHeight="1">
      <x:c r="A15" s="9" t="str">
        <x:v>T014</x:v>
      </x:c>
      <x:c r="B15" s="9" t="str">
        <x:v>淡奶油未打发</x:v>
      </x:c>
      <x:c r="C15" s="9" t="str">
        <x:v>30ml</x:v>
      </x:c>
      <x:c r="D15" s="11" t="n">
        <x:v>100</x:v>
      </x:c>
      <x:c r="E15" s="9" t="str">
        <x:v>90–110</x:v>
      </x:c>
      <x:c r="F15" s="9" t="str">
        <x:v>原料换算估算</x:v>
      </x:c>
      <x:c r="G15" s="9" t="str">
        <x:v>通用参考，品牌是否可加及份量待核实</x:v>
      </x:c>
      <x:c r="H15" s="12" t="str">
        <x:v>待核实</x:v>
      </x:c>
      <x:c r="I15" s="12" t="str"/>
      <x:c r="J15" s="9" t="str">
        <x:v>https://www.anchordairy.com/my/en/products/cream-custard/anchor-culinary-cream.html</x:v>
      </x:c>
      <x:c r="K15" s="9" t="str">
        <x:v>安佳马来西亚原料335kcal/100ml × 30ml，四舍五入</x:v>
      </x:c>
      <x:c r="L15" s="9" t="str">
        <x:v>不是打发后的30ml；糖另计</x:v>
      </x:c>
    </x:row>
    <x:row r="16" ht="80" customHeight="1">
      <x:c r="A16" s="7" t="str">
        <x:v>T015</x:v>
      </x:c>
      <x:c r="B16" s="7" t="str">
        <x:v>普通含糖风味糖浆</x:v>
      </x:c>
      <x:c r="C16" s="7" t="str">
        <x:v>1泵（泵头份量未统一）</x:v>
      </x:c>
      <x:c r="D16" s="10" t="n">
        <x:v>20</x:v>
      </x:c>
      <x:c r="E16" s="7" t="str">
        <x:v>14–25</x:v>
      </x:c>
      <x:c r="F16" s="7" t="str">
        <x:v>海外官方参考</x:v>
      </x:c>
      <x:c r="G16" s="7" t="str">
        <x:v>通用参考，品牌是否可加及份量待核实</x:v>
      </x:c>
      <x:c r="H16" s="12" t="str">
        <x:v>待核实</x:v>
      </x:c>
      <x:c r="I16" s="12" t="str"/>
      <x:c r="J16" s="7" t="str">
        <x:v>https://www.starbucks.co.uk/sites/starbucks-uk-pwa/files/2026-02/SPR26__UK_AllergenBook_CORE_BEVERAGE.PDF</x:v>
      </x:c>
      <x:c r="K16" s="7" t="str">
        <x:v>英国星巴克糖浆页香草14、焦糖15、杏仁16kcal/泵；20为通用占位值</x:v>
      </x:c>
      <x:c r="L16" s="7" t="str">
        <x:v>中国及其他品牌泵头规格不同；非大陆星巴克官方20</x:v>
      </x:c>
    </x:row>
    <x:row r="17" ht="80" customHeight="1">
      <x:c r="A17" s="9" t="str">
        <x:v>T016</x:v>
      </x:c>
      <x:c r="B17" s="9" t="str">
        <x:v>摩卡酱</x:v>
      </x:c>
      <x:c r="C17" s="9" t="str">
        <x:v>1泵（英国规格）</x:v>
      </x:c>
      <x:c r="D17" s="11" t="n">
        <x:v>29</x:v>
      </x:c>
      <x:c r="E17" s="9" t="str">
        <x:v>25–35</x:v>
      </x:c>
      <x:c r="F17" s="9" t="str">
        <x:v>海外官方参考</x:v>
      </x:c>
      <x:c r="G17" s="9" t="str">
        <x:v>通用参考，品牌是否可加及份量待核实</x:v>
      </x:c>
      <x:c r="H17" s="12" t="str">
        <x:v>待核实</x:v>
      </x:c>
      <x:c r="I17" s="12" t="str"/>
      <x:c r="J17" s="9" t="str">
        <x:v>https://www.starbucks.co.uk/sites/starbucks-uk-pwa/files/2026-02/SPR26__UK_AllergenBook_CORE_BEVERAGE.PDF</x:v>
      </x:c>
      <x:c r="K17" s="9" t="str">
        <x:v>英国星巴克2026营养表第62页29kcal/泵</x:v>
      </x:c>
      <x:c r="L17" s="9" t="str">
        <x:v>不是摩卡淋酱，后者9kcal/泵；大陆待核实</x:v>
      </x:c>
    </x:row>
    <x:row r="18" ht="80" customHeight="1">
      <x:c r="A18" s="7" t="str">
        <x:v>T017</x:v>
      </x:c>
      <x:c r="B18" s="7" t="str">
        <x:v>白巧克力摩卡酱</x:v>
      </x:c>
      <x:c r="C18" s="7" t="str">
        <x:v>1泵（英国规格）</x:v>
      </x:c>
      <x:c r="D18" s="10" t="n">
        <x:v>43</x:v>
      </x:c>
      <x:c r="E18" s="7" t="str">
        <x:v>35–50</x:v>
      </x:c>
      <x:c r="F18" s="7" t="str">
        <x:v>海外官方参考</x:v>
      </x:c>
      <x:c r="G18" s="7" t="str">
        <x:v>通用参考，品牌是否可加及份量待核实</x:v>
      </x:c>
      <x:c r="H18" s="12" t="str">
        <x:v>待核实</x:v>
      </x:c>
      <x:c r="I18" s="12" t="str"/>
      <x:c r="J18" s="7" t="str">
        <x:v>https://www.starbucks.co.uk/sites/starbucks-uk-pwa/files/2026-02/SPR26__UK_AllergenBook_CORE_BEVERAGE.PDF</x:v>
      </x:c>
      <x:c r="K18" s="7" t="str">
        <x:v>英国星巴克2026营养表第62页43kcal/泵</x:v>
      </x:c>
      <x:c r="L18" s="7" t="str">
        <x:v>大陆泵头和配方待核实</x:v>
      </x:c>
    </x:row>
    <x:row r="19" ht="80" customHeight="1">
      <x:c r="A19" s="9" t="str">
        <x:v>T018</x:v>
      </x:c>
      <x:c r="B19" s="9" t="str">
        <x:v>焦糖淋酱</x:v>
      </x:c>
      <x:c r="C19" s="9" t="str">
        <x:v>1泵（英国规格）</x:v>
      </x:c>
      <x:c r="D19" s="11" t="n">
        <x:v>21</x:v>
      </x:c>
      <x:c r="E19" s="9" t="str">
        <x:v>15–30</x:v>
      </x:c>
      <x:c r="F19" s="9" t="str">
        <x:v>海外官方参考</x:v>
      </x:c>
      <x:c r="G19" s="9" t="str">
        <x:v>通用参考，品牌是否可加及份量待核实</x:v>
      </x:c>
      <x:c r="H19" s="12" t="str">
        <x:v>待核实</x:v>
      </x:c>
      <x:c r="I19" s="12" t="str"/>
      <x:c r="J19" s="9" t="str">
        <x:v>https://www.starbucks.co.uk/sites/starbucks-uk-pwa/files/2026-02/SPR26__UK_AllergenBook_CORE_BEVERAGE.PDF</x:v>
      </x:c>
      <x:c r="K19" s="9" t="str">
        <x:v>英国星巴克2026营养表第62页21kcal/泵</x:v>
      </x:c>
      <x:c r="L19" s="9" t="str">
        <x:v>不是普通焦糖糖浆</x:v>
      </x:c>
    </x:row>
    <x:row r="20" ht="46" customHeight="1">
      <x:c r="A20" s="7" t="str">
        <x:v>T019</x:v>
      </x:c>
      <x:c r="B20" s="7" t="str">
        <x:v>额外浓缩咖啡</x:v>
      </x:c>
      <x:c r="C20" s="7" t="str">
        <x:v>1 shot</x:v>
      </x:c>
      <x:c r="D20" s="10" t="n">
        <x:v>5</x:v>
      </x:c>
      <x:c r="E20" s="7" t="str">
        <x:v>3–10</x:v>
      </x:c>
      <x:c r="F20" s="7" t="str">
        <x:v>海外官方参考</x:v>
      </x:c>
      <x:c r="G20" s="7" t="str">
        <x:v>通用参考，品牌是否可加及份量待核实</x:v>
      </x:c>
      <x:c r="H20" s="12" t="str">
        <x:v>待核实</x:v>
      </x:c>
      <x:c r="I20" s="12" t="str"/>
      <x:c r="J20" s="7" t="str">
        <x:v>https://stories.starbucks.com/uploads/2019/01/nutrition-1.pdf</x:v>
      </x:c>
      <x:c r="K20" s="7" t="str">
        <x:v>加拿大星巴克历史营养表5kcal/shot；仅作量级参照</x:v>
      </x:c>
      <x:c r="L20" s="7" t="str">
        <x:v>历史海外资料；大陆具体shot份量待核实</x:v>
      </x:c>
    </x:row>
    <x:row r="21" ht="46" customHeight="1">
      <x:c r="A21" s="9" t="str">
        <x:v>T020</x:v>
      </x:c>
      <x:c r="B21" s="9" t="str">
        <x:v>打发奶油顶</x:v>
      </x:c>
      <x:c r="C21" s="9" t="str">
        <x:v>1份（门店规格未知）</x:v>
      </x:c>
      <x:c r="D21" s="11" t="n">
        <x:v>90</x:v>
      </x:c>
      <x:c r="E21" s="9" t="str">
        <x:v>50–130</x:v>
      </x:c>
      <x:c r="F21" s="9" t="str">
        <x:v>海外官方参考</x:v>
      </x:c>
      <x:c r="G21" s="9" t="str">
        <x:v>通用参考，品牌是否可加及份量待核实</x:v>
      </x:c>
      <x:c r="H21" s="12" t="str">
        <x:v>待核实</x:v>
      </x:c>
      <x:c r="I21" s="12" t="str"/>
      <x:c r="J21" s="9" t="str">
        <x:v>https://stories.starbucks.com/uploads/2019/01/nutrition-1.pdf</x:v>
      </x:c>
      <x:c r="K21" s="9" t="str">
        <x:v>加拿大历史表奶油顶按冷热和杯型50–110kcal；90为建议占位值</x:v>
      </x:c>
      <x:c r="L21" s="9" t="str">
        <x:v>原饮品带奶油则已经包含；份量待核实</x:v>
      </x:c>
    </x:row>
    <x:row r="22" ht="46" customHeight="1">
      <x:c r="A22" s="7" t="str">
        <x:v>T021</x:v>
      </x:c>
      <x:c r="B22" s="7" t="str">
        <x:v>黑糖珍珠</x:v>
      </x:c>
      <x:c r="C22" s="7" t="str">
        <x:v>假设60g熟珍珠+约5g额外黑糖</x:v>
      </x:c>
      <x:c r="D22" s="10" t="n">
        <x:v>170</x:v>
      </x:c>
      <x:c r="E22" s="7" t="str">
        <x:v>120–230</x:v>
      </x:c>
      <x:c r="F22" s="7" t="str">
        <x:v>配料估算</x:v>
      </x:c>
      <x:c r="G22" s="7" t="str">
        <x:v>通用参考，品牌是否可加及份量待核实</x:v>
      </x:c>
      <x:c r="H22" s="12" t="str">
        <x:v>待核实</x:v>
      </x:c>
      <x:c r="I22" s="12" t="str"/>
      <x:c r="J22" s="7" t="str">
        <x:v>https://uptogo.com.tw/美食/食品/椰果熱量很高嗎？/</x:v>
      </x:c>
      <x:c r="K22" s="7" t="str">
        <x:v>普通珍珠约150+额外挂糖约20；份量为研究假设</x:v>
      </x:c>
      <x:c r="L22" s="7" t="str">
        <x:v>若普通珍珠已含相同挂糖不能重复加；品牌专属数据缺失</x:v>
      </x:c>
    </x:row>
    <x:row r="23" ht="46" customHeight="1">
      <x:c r="A23" s="9" t="str">
        <x:v>T022</x:v>
      </x:c>
      <x:c r="B23" s="9" t="str">
        <x:v>西米</x:v>
      </x:c>
      <x:c r="C23" s="9" t="str">
        <x:v>假设60g熟料（含糖）</x:v>
      </x:c>
      <x:c r="D23" s="11" t="n">
        <x:v>100</x:v>
      </x:c>
      <x:c r="E23" s="9" t="str">
        <x:v>60–150</x:v>
      </x:c>
      <x:c r="F23" s="9" t="str">
        <x:v>配料估算</x:v>
      </x:c>
      <x:c r="G23" s="9" t="str">
        <x:v>通用参考，品牌是否可加及份量待核实</x:v>
      </x:c>
      <x:c r="H23" s="12" t="str">
        <x:v>待核实</x:v>
      </x:c>
      <x:c r="I23" s="12" t="str"/>
      <x:c r="J23" s="9" t="str">
        <x:v>https://www.cocobubbletea.ca/topping</x:v>
      </x:c>
      <x:c r="K23" s="9" t="str">
        <x:v>加拿大CoCo仅确认西米品类；按熟淀粉约60–100+糖0–40建模</x:v>
      </x:c>
      <x:c r="L23" s="9" t="str">
        <x:v>来源不证明热量，大陆可加及份量未核实</x:v>
      </x:c>
    </x:row>
    <x:row r="24" ht="46" customHeight="1">
      <x:c r="A24" s="7" t="str">
        <x:v>T023</x:v>
      </x:c>
      <x:c r="B24" s="7" t="str">
        <x:v>芋泥</x:v>
      </x:c>
      <x:c r="C24" s="7" t="str">
        <x:v>假设60g芋泥</x:v>
      </x:c>
      <x:c r="D24" s="10" t="n">
        <x:v>110</x:v>
      </x:c>
      <x:c r="E24" s="7" t="str">
        <x:v>70–170</x:v>
      </x:c>
      <x:c r="F24" s="7" t="str">
        <x:v>配料估算</x:v>
      </x:c>
      <x:c r="G24" s="7" t="str">
        <x:v>通用参考，品牌是否可加及份量待核实</x:v>
      </x:c>
      <x:c r="H24" s="12" t="str">
        <x:v>待核实</x:v>
      </x:c>
      <x:c r="I24" s="12" t="str"/>
      <x:c r="J24" s="7" t="str">
        <x:v>https://www.cocobubbletea.ca/topping</x:v>
      </x:c>
      <x:c r="K24" s="7" t="str">
        <x:v>菜单仅确认鲜芋头品类；模型芋头约50+糖20–40+乳脂0–40</x:v>
      </x:c>
      <x:c r="L24" s="7" t="str">
        <x:v>来源不证明芋泥热量；浓芋泥与鲜芋块不同</x:v>
      </x:c>
    </x:row>
    <x:row r="25" ht="46" customHeight="1">
      <x:c r="A25" s="9" t="str">
        <x:v>T024</x:v>
      </x:c>
      <x:c r="B25" s="9" t="str">
        <x:v>蜜红豆</x:v>
      </x:c>
      <x:c r="C25" s="9" t="str">
        <x:v>假设60g熟料</x:v>
      </x:c>
      <x:c r="D25" s="11" t="n">
        <x:v>120</x:v>
      </x:c>
      <x:c r="E25" s="9" t="str">
        <x:v>80–170</x:v>
      </x:c>
      <x:c r="F25" s="9" t="str">
        <x:v>配料估算</x:v>
      </x:c>
      <x:c r="G25" s="9" t="str">
        <x:v>通用参考，品牌是否可加及份量待核实</x:v>
      </x:c>
      <x:c r="H25" s="12" t="str">
        <x:v>待核实</x:v>
      </x:c>
      <x:c r="I25" s="12" t="str"/>
      <x:c r="J25" s="9" t="str">
        <x:v>https://news.tvbs.com.tw/life/2110298</x:v>
      </x:c>
      <x:c r="K25" s="9" t="str">
        <x:v>来源说明蜜豆含挂糖；熟豆约70–90+糖约20–60建模</x:v>
      </x:c>
      <x:c r="L25" s="9" t="str">
        <x:v>份量与糖量均为假设，品牌数据待核实</x:v>
      </x:c>
    </x:row>
    <x:row r="26" ht="46" customHeight="1">
      <x:c r="A26" s="7" t="str">
        <x:v>T025</x:v>
      </x:c>
      <x:c r="B26" s="7" t="str">
        <x:v>茶冻/茉莉冻</x:v>
      </x:c>
      <x:c r="C26" s="7" t="str">
        <x:v>假设60g</x:v>
      </x:c>
      <x:c r="D26" s="10" t="n">
        <x:v>40</x:v>
      </x:c>
      <x:c r="E26" s="7" t="str">
        <x:v>10–70</x:v>
      </x:c>
      <x:c r="F26" s="7" t="str">
        <x:v>配料估算</x:v>
      </x:c>
      <x:c r="G26" s="7" t="str">
        <x:v>通用参考，品牌是否可加及份量待核实</x:v>
      </x:c>
      <x:c r="H26" s="12" t="str">
        <x:v>待核实</x:v>
      </x:c>
      <x:c r="I26" s="12" t="str"/>
      <x:c r="J26" s="7" t="str">
        <x:v>https://www.cocobubbletea.ca/topping</x:v>
      </x:c>
      <x:c r="K26" s="7" t="str">
        <x:v>海外菜单仅确认茶冻；胶体少量+糖约2–15g建模</x:v>
      </x:c>
      <x:c r="L26" s="7" t="str">
        <x:v>来源不证明热量；不同甜度不能固定共用</x:v>
      </x:c>
    </x:row>
    <x:row r="27" ht="46" customHeight="1">
      <x:c r="A27" s="9" t="str">
        <x:v>T026</x:v>
      </x:c>
      <x:c r="B27" s="9" t="str">
        <x:v>麻薯/小丸子</x:v>
      </x:c>
      <x:c r="C27" s="9" t="str">
        <x:v>假设50g熟料</x:v>
      </x:c>
      <x:c r="D27" s="11" t="n">
        <x:v>110</x:v>
      </x:c>
      <x:c r="E27" s="9" t="str">
        <x:v>70–160</x:v>
      </x:c>
      <x:c r="F27" s="9" t="str">
        <x:v>配料估算</x:v>
      </x:c>
      <x:c r="G27" s="9" t="str">
        <x:v>通用参考，品牌是否可加及份量待核实</x:v>
      </x:c>
      <x:c r="H27" s="12" t="str">
        <x:v>待核实</x:v>
      </x:c>
      <x:c r="I27" s="12" t="str"/>
      <x:c r="J27" s="9" t="str">
        <x:v>https://www.nckfhsm.com/products/qian-mu-mo-cha-bo-bo</x:v>
      </x:c>
      <x:c r="K27" s="9" t="str">
        <x:v>菜单仅确认小丸子可加；按熟淀粉70–120+糖0–40建模</x:v>
      </x:c>
      <x:c r="L27" s="9" t="str">
        <x:v>麻薯与丸子非相同配方，先用同类范围待拆分</x:v>
      </x:c>
    </x:row>
    <x:row r="28" ht="80" customHeight="1">
      <x:c r="A28" s="7" t="str">
        <x:v>T027</x:v>
      </x:c>
      <x:c r="B28" s="7" t="str">
        <x:v>奶冻</x:v>
      </x:c>
      <x:c r="C28" s="7" t="str">
        <x:v>假设60g</x:v>
      </x:c>
      <x:c r="D28" s="10" t="n">
        <x:v>90</x:v>
      </x:c>
      <x:c r="E28" s="7" t="str">
        <x:v>50–140</x:v>
      </x:c>
      <x:c r="F28" s="7" t="str">
        <x:v>配料估算</x:v>
      </x:c>
      <x:c r="G28" s="7" t="str">
        <x:v>通用参考，品牌是否可加及份量待核实</x:v>
      </x:c>
      <x:c r="H28" s="12" t="str">
        <x:v>待核实</x:v>
      </x:c>
      <x:c r="I28" s="12" t="str"/>
      <x:c r="J28" s="7" t="str">
        <x:v>https://www.anchordairy.com/ph/en/products/milk-powders-and-uht/anchor-full-cream-uht-milk.html</x:v>
      </x:c>
      <x:c r="K28" s="7" t="str">
        <x:v>乳基约30–40+糖20–40+乳脂0–60建模，官方链接仅作牛奶原料依据</x:v>
      </x:c>
      <x:c r="L28" s="7" t="str">
        <x:v>无门店奶冻配方证据</x:v>
      </x:c>
    </x:row>
    <x:row r="29" ht="80" customHeight="1">
      <x:c r="A29" s="9" t="str">
        <x:v>T028</x:v>
      </x:c>
      <x:c r="B29" s="9" t="str">
        <x:v>冷奶沫/轻乳沫</x:v>
      </x:c>
      <x:c r="C29" s="9" t="str">
        <x:v>假设50ml打发后</x:v>
      </x:c>
      <x:c r="D29" s="11" t="n">
        <x:v>50</x:v>
      </x:c>
      <x:c r="E29" s="9" t="str">
        <x:v>20–100</x:v>
      </x:c>
      <x:c r="F29" s="9" t="str">
        <x:v>配料估算</x:v>
      </x:c>
      <x:c r="G29" s="9" t="str">
        <x:v>通用参考，品牌是否可加及份量待核实</x:v>
      </x:c>
      <x:c r="H29" s="12" t="str">
        <x:v>待核实</x:v>
      </x:c>
      <x:c r="I29" s="12" t="str"/>
      <x:c r="J29" s="9" t="str">
        <x:v>https://www.anchordairy.com/ph/en/products/milk-powders-and-uht/anchor-full-cream-uht-milk.html</x:v>
      </x:c>
      <x:c r="K29" s="9" t="str">
        <x:v>按乳基约20–40+糖0–30+乳脂0–30建模</x:v>
      </x:c>
      <x:c r="L29" s="9" t="str">
        <x:v>乳沫与含奶油甜奶盖差异大；无品牌专属证据</x:v>
      </x:c>
    </x:row>
    <x:row r="30" ht="80" customHeight="1">
      <x:c r="A30" s="7" t="str">
        <x:v>T029</x:v>
      </x:c>
      <x:c r="B30" s="7" t="str">
        <x:v>砂糖额外添加</x:v>
      </x:c>
      <x:c r="C30" s="7" t="str">
        <x:v>5g纯砂糖</x:v>
      </x:c>
      <x:c r="D30" s="10" t="n">
        <x:v>20</x:v>
      </x:c>
      <x:c r="E30" s="7" t="str">
        <x:v>20–20</x:v>
      </x:c>
      <x:c r="F30" s="7" t="str">
        <x:v>配料换算</x:v>
      </x:c>
      <x:c r="G30" s="7" t="str">
        <x:v>通用参考，品牌是否可加及份量待核实</x:v>
      </x:c>
      <x:c r="H30" s="12" t="str">
        <x:v>待核实</x:v>
      </x:c>
      <x:c r="I30" s="12" t="str"/>
      <x:c r="J30" s="7" t="str">
        <x:v>https://www.starbucks.co.uk/sites/starbucks-uk-pwa/files/2026-02/SPR26__UK_AllergenBook_CORE_BEVERAGE.PDF</x:v>
      </x:c>
      <x:c r="K30" s="7" t="str">
        <x:v>按碳水4kcal/g通用能量系数；5g×4；链接仅作糖类添加项参照</x:v>
      </x:c>
      <x:c r="L30" s="7" t="str">
        <x:v>5g是纯糖重量，不是糖浆重量或一泵</x:v>
      </x:c>
    </x:row>
  </x:sheetData>
  <x:dataValidations count="1">
    <x:dataValidation type="list" sqref="H2:H30">
      <x:formula1>"待核实,已核实,需修改,不收录"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f30deb1c1c4f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5" hidden="0" customWidth="1"/>
  </x:cols>
  <x:sheetData>
    <x:row r="1" ht="32" customHeight="1">
      <x:c r="A1" s="5" t="str">
        <x:v>项目</x:v>
      </x:c>
      <x:c r="B1" s="5" t="str">
        <x:v>说明</x:v>
      </x:c>
    </x:row>
    <x:row r="2" ht="46" customHeight="1">
      <x:c r="A2" s="7" t="str">
        <x:v>范围</x:v>
      </x:c>
      <x:c r="B2" s="7" t="str">
        <x:v>40个品牌，第一版常见代表饮品；不是全菜单，也未确认每家门店当前在售。</x:v>
      </x:c>
    </x:row>
    <x:row r="3" ht="46" customHeight="1">
      <x:c r="A3" s="9" t="str">
        <x:v>热量口径</x:v>
      </x:c>
      <x:c r="B3" s="9" t="str">
        <x:v>参考值与估算值均保留原依据；range是参考范围或模型包络，不是检测置信区间。</x:v>
      </x:c>
    </x:row>
    <x:row r="4" ht="46" customHeight="1">
      <x:c r="A4" s="7" t="str">
        <x:v>核实方法</x:v>
      </x:c>
      <x:c r="B4" s="7" t="str">
        <x:v>筛选品牌和依据类型，先核对名称、在售、杯型糖度，再修改黄色栏。保留原值便于比较。</x:v>
      </x:c>
    </x:row>
    <x:row r="5" ht="46" customHeight="1">
      <x:c r="A5" s="9" t="str">
        <x:v>配料估算</x:v>
      </x:c>
      <x:c r="B5" s="9" t="str">
        <x:v>链接可能仅证明菜单名称/配料；热量由说明列的份量假设估算，不能称官方公开热量。</x:v>
      </x:c>
    </x:row>
    <x:row r="6" ht="46" customHeight="1">
      <x:c r="A6" s="7" t="str">
        <x:v>来源地域</x:v>
      </x:c>
      <x:c r="B6" s="7" t="str">
        <x:v>默认中国大陆；海外原料/营养资料在说明列明确标出，不能直接视作大陆配方。</x:v>
      </x:c>
    </x:row>
    <x:row r="7" ht="46" customHeight="1">
      <x:c r="A7" s="9" t="str">
        <x:v>小料</x:v>
      </x:c>
      <x:c r="B7" s="9" t="str">
        <x:v>通用表不证明40品牌全部提供该小料。品牌专属份量和可加选项详见配套研究说明。</x:v>
      </x:c>
    </x:row>
    <x:row r="8" ht="46" customHeight="1">
      <x:c r="A8" s="7" t="str">
        <x:v>防止重复</x:v>
      </x:c>
      <x:c r="B8" s="7" t="str">
        <x:v>整杯已包含默认珍珠、奶盖、奶油等；只有额外添加才相加。换奶=扣除原奶+替代奶。</x:v>
      </x:c>
    </x:row>
    <x:row r="9" ht="46" customHeight="1">
      <x:c r="A9" s="9" t="str">
        <x:v>糖度</x:v>
      </x:c>
      <x:c r="B9" s="9" t="str">
        <x:v>无额外加糖仍有乳糖、果糖、小料糖；不能把五分糖整杯热量直接减半。</x:v>
      </x:c>
    </x:row>
    <x:row r="10" ht="46" customHeight="1">
      <x:c r="A10" s="7" t="str">
        <x:v>份量</x:v>
      </x:c>
      <x:c r="B10" s="7" t="str">
        <x:v>ml杯容量不等于牛奶用量；冰与水没有热量，但冰度可能改变实际原料用量。</x:v>
      </x:c>
    </x:row>
    <x:row r="11" ht="46" customHeight="1">
      <x:c r="A11" s="9" t="str">
        <x:v>原料模型</x:v>
      </x:c>
      <x:c r="B11" s="9" t="str">
        <x:v>纯糖4kcal/g；全脂奶约60–70kcal/100ml；淡奶油约335kcal/100ml。份量均须核实。</x:v>
      </x:c>
    </x:row>
    <x:row r="12" ht="46" customHeight="1">
      <x:c r="A12" s="7" t="str">
        <x:v>补充依据</x:v>
      </x:c>
      <x:c r="B12" s="7" t="str">
        <x:v>牛奶：https://www.anchordairy.com/ph/en/products/milk-powders-and-uht/anchor-full-cream-uht-milk.html</x:v>
      </x:c>
    </x:row>
    <x:row r="13" ht="46" customHeight="1">
      <x:c r="A13" s="9" t="str">
        <x:v>补充依据</x:v>
      </x:c>
      <x:c r="B13" s="9" t="str">
        <x:v>淡奶油：https://www.anchordairy.com/my/en/products/cream-custard/anchor-culinary-cream.html</x:v>
      </x:c>
    </x:row>
    <x:row r="14" ht="46" customHeight="1">
      <x:c r="A14" s="7" t="str">
        <x:v>当前状态</x:v>
      </x:c>
      <x:c r="B14" s="7" t="str">
        <x:v>资料草稿，全部待用户核实；尚未导入小程序，没有修改饮品库或日记记录。</x:v>
      </x:c>
    </x:row>
  </x:sheetData>
  <x:pageMargins left="0.7" right="0.7" top="0.75" bottom="0.75" header="0.3" footer="0.3"/>
  <x:tableParts count="1">
    <x:tablePart xmlns:r="http://schemas.openxmlformats.org/officeDocument/2006/relationships" r:id="R64b7487954d84046"/>
  </x:tableParts>
</x:worksheet>
</file>